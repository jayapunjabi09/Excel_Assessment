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7628556f48424466/Desktop/Jaya_M3-A1_Assessment/Section C - Mini Capstone Project/"/>
    </mc:Choice>
  </mc:AlternateContent>
  <xr:revisionPtr revIDLastSave="221" documentId="8_{87417D7C-E9BA-4914-8DA3-4CD0E25D1AFD}" xr6:coauthVersionLast="47" xr6:coauthVersionMax="47" xr10:uidLastSave="{A8D2A769-E168-4AAD-8E04-8431C5CCEB28}"/>
  <bookViews>
    <workbookView xWindow="-108" yWindow="-108" windowWidth="23256" windowHeight="12456" activeTab="5" xr2:uid="{A6AA6379-BEE8-44D5-B37E-E006DBB5F733}"/>
  </bookViews>
  <sheets>
    <sheet name="Orders" sheetId="1" r:id="rId1"/>
    <sheet name="Restaurants" sheetId="2" r:id="rId2"/>
    <sheet name="Zone Stats" sheetId="3" r:id="rId3"/>
    <sheet name="PivotTable 2" sheetId="6" r:id="rId4"/>
    <sheet name="Pivot - Revenue" sheetId="5" r:id="rId5"/>
    <sheet name="Dashboard" sheetId="7" r:id="rId6"/>
  </sheets>
  <definedNames>
    <definedName name="NativeTimeline_OrderDate">#N/A</definedName>
    <definedName name="Slicer_Zon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7" l="1"/>
  <c r="D5" i="7"/>
  <c r="A5" i="7"/>
  <c r="G3" i="3"/>
  <c r="G4" i="3"/>
  <c r="G5" i="3"/>
  <c r="G6" i="3"/>
  <c r="G2" i="3"/>
  <c r="F3" i="3" a="1"/>
  <c r="F3" i="3"/>
  <c r="F4" i="3" a="1"/>
  <c r="F4" i="3" s="1"/>
  <c r="F5" i="3" a="1"/>
  <c r="F5" i="3"/>
  <c r="F6" i="3" a="1"/>
  <c r="F6" i="3" s="1"/>
  <c r="F2" i="3" a="1"/>
  <c r="F2" i="3" s="1"/>
  <c r="E3" i="3"/>
  <c r="E4" i="3"/>
  <c r="E5" i="3"/>
  <c r="E6" i="3"/>
  <c r="E2" i="3"/>
  <c r="D3" i="3" a="1"/>
  <c r="D3" i="3" s="1"/>
  <c r="D4" i="3" a="1"/>
  <c r="D4" i="3"/>
  <c r="D5" i="3" a="1"/>
  <c r="D5" i="3" s="1"/>
  <c r="D6" i="3" a="1"/>
  <c r="D6" i="3" s="1"/>
  <c r="D2" i="3" a="1"/>
  <c r="D2" i="3" s="1"/>
  <c r="C3" i="3" a="1"/>
  <c r="C3" i="3" s="1"/>
  <c r="C4" i="3" a="1"/>
  <c r="C4" i="3" s="1"/>
  <c r="C5" i="3" a="1"/>
  <c r="C5" i="3" s="1"/>
  <c r="C6" i="3" a="1"/>
  <c r="C6" i="3" s="1"/>
  <c r="C2" i="3" a="1"/>
  <c r="C2" i="3" s="1"/>
  <c r="B3" i="3"/>
  <c r="B4" i="3"/>
  <c r="B5" i="3"/>
  <c r="B6" i="3"/>
  <c r="B2"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<sst xmlns="http://schemas.openxmlformats.org/spreadsheetml/2006/main" count="517" uniqueCount="72">
  <si>
    <t>OrderID</t>
  </si>
  <si>
    <t>RestaurantID</t>
  </si>
  <si>
    <t>Cuisine</t>
  </si>
  <si>
    <t>Zone</t>
  </si>
  <si>
    <t>OrderDate</t>
  </si>
  <si>
    <t>DeliveryTime</t>
  </si>
  <si>
    <t>Rating</t>
  </si>
  <si>
    <t>Revenue</t>
  </si>
  <si>
    <t>Status</t>
  </si>
  <si>
    <t>R001</t>
  </si>
  <si>
    <t>Indian</t>
  </si>
  <si>
    <t>Central</t>
  </si>
  <si>
    <t>Delivered</t>
  </si>
  <si>
    <t>R002</t>
  </si>
  <si>
    <t>Chinese</t>
  </si>
  <si>
    <t>North</t>
  </si>
  <si>
    <t>R003</t>
  </si>
  <si>
    <t>Italian</t>
  </si>
  <si>
    <t>South</t>
  </si>
  <si>
    <t>R004</t>
  </si>
  <si>
    <t>Mexican</t>
  </si>
  <si>
    <t>East</t>
  </si>
  <si>
    <t>R005</t>
  </si>
  <si>
    <t>West</t>
  </si>
  <si>
    <t>Delayed</t>
  </si>
  <si>
    <t>R006</t>
  </si>
  <si>
    <t>Cancelled</t>
  </si>
  <si>
    <t>R007</t>
  </si>
  <si>
    <t>R008</t>
  </si>
  <si>
    <t>R009</t>
  </si>
  <si>
    <t>R010</t>
  </si>
  <si>
    <t>R011</t>
  </si>
  <si>
    <t>R012</t>
  </si>
  <si>
    <t>R013</t>
  </si>
  <si>
    <t>R014</t>
  </si>
  <si>
    <t>R015</t>
  </si>
  <si>
    <t>RestaurantName</t>
  </si>
  <si>
    <t>Category</t>
  </si>
  <si>
    <t>Spice Hub</t>
  </si>
  <si>
    <t>Dragon House</t>
  </si>
  <si>
    <t>Pasta Point</t>
  </si>
  <si>
    <t>Taco Town</t>
  </si>
  <si>
    <t>Curry Corner</t>
  </si>
  <si>
    <t>Wok Express</t>
  </si>
  <si>
    <t>Pizza Palace</t>
  </si>
  <si>
    <t>Mexican Grill</t>
  </si>
  <si>
    <t>Punjabi Rasoi</t>
  </si>
  <si>
    <t>China Bowl</t>
  </si>
  <si>
    <t>Italian Kitchen</t>
  </si>
  <si>
    <t>Taco Fiesta</t>
  </si>
  <si>
    <t>Food Junction</t>
  </si>
  <si>
    <t>Noodle House</t>
  </si>
  <si>
    <t>Pizza Corner</t>
  </si>
  <si>
    <t>Mean DeliveryTime</t>
  </si>
  <si>
    <t>Median DeliveryTime</t>
  </si>
  <si>
    <t>SD DeliveryTime</t>
  </si>
  <si>
    <t>Mean Revenue</t>
  </si>
  <si>
    <t>SD Revenue</t>
  </si>
  <si>
    <t>Above Overall Median?</t>
  </si>
  <si>
    <t>Row Labels</t>
  </si>
  <si>
    <t>Grand Total</t>
  </si>
  <si>
    <t>Column Labels</t>
  </si>
  <si>
    <t>Sum of Revenue</t>
  </si>
  <si>
    <t>Jul</t>
  </si>
  <si>
    <t>Aug</t>
  </si>
  <si>
    <t>Sep</t>
  </si>
  <si>
    <t>Count of OrderID</t>
  </si>
  <si>
    <t>2026</t>
  </si>
  <si>
    <t>FOOD DELIVERY OPERATIONS DASHBOARD</t>
  </si>
  <si>
    <t>TOTAL REVENUE</t>
  </si>
  <si>
    <t>AVERAGE CUSTOMER RATING</t>
  </si>
  <si>
    <t>ON-TIME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</si>
</sst>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2" fillId="0" borderId="0" xfId="0" applyFont="1" applyAlignment="1">
      <alignment horizontal="left" indent="7"/>
    </xf>
    <xf numFmtId="0" fontId="0" fillId="0" borderId="0" xfId="0" applyAlignment="1">
      <alignment horizontal="center"/>
    </xf>
    <xf numFmtId="0" fontId="4" fillId="2" borderId="0" xfId="0" applyFont="1" applyFill="1" applyAlignment="1">
      <alignment horizontal="centerContinuous"/>
    </xf>
    <xf numFmtId="0" fontId="4" fillId="2" borderId="0" xfId="0" applyFont="1" applyFill="1"/>
    <xf numFmtId="0" fontId="4" fillId="2" borderId="0" xfId="0" applyFont="1" applyFill="1" applyAlignment="1">
      <alignment horizontal="left" indent="10"/>
    </xf>
    <xf numFmtId="0" fontId="4" fillId="2" borderId="0" xfId="0" applyFont="1" applyFill="1" applyAlignment="1">
      <alignment horizontal="center"/>
    </xf>
    <xf numFmtId="0" fontId="2" fillId="0" borderId="0" xfId="0" applyFont="1" applyAlignment="1">
      <alignment horizontal="right"/>
    </xf>
  </cellXfs>
  <cellStyles count="1">
    <cellStyle name="Normal" xfId="0" builtinId="0"/>
  </cellStyles>
  <dxfs count="4">
    <dxf>
      <font>
        <color rgb="FF006100"/>
      </font>
      <fill>
        <patternFill>
          <bgColor rgb="FFC6EFCE"/>
        </patternFill>
      </fil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xdr:col>
      <xdr:colOff>937260</xdr:colOff>
      <xdr:row>15</xdr:row>
      <xdr:rowOff>7621</xdr:rowOff>
    </xdr:from>
    <xdr:to>
      <xdr:col>6</xdr:col>
      <xdr:colOff>693420</xdr:colOff>
      <xdr:row>22</xdr:row>
      <xdr:rowOff>15240</xdr:rowOff>
    </xdr:to>
    <mc:AlternateContent xmlns:mc="http://schemas.openxmlformats.org/markup-compatibility/2006">
      <mc:Choice xmlns:a14="http://schemas.microsoft.com/office/drawing/2010/main" Requires="a14">
        <xdr:graphicFrame macro="">
          <xdr:nvGraphicFramePr>
            <xdr:cNvPr id="2" name="Zone">
              <a:extLst>
                <a:ext uri="{FF2B5EF4-FFF2-40B4-BE49-F238E27FC236}">
                  <a16:creationId xmlns:a16="http://schemas.microsoft.com/office/drawing/2014/main" id="{9B2DAC75-C3D7-728C-4F76-268871D1BDAF}"/>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1973580" y="2781301"/>
              <a:ext cx="3284220" cy="12877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14</xdr:row>
      <xdr:rowOff>167640</xdr:rowOff>
    </xdr:from>
    <xdr:to>
      <xdr:col>11</xdr:col>
      <xdr:colOff>586740</xdr:colOff>
      <xdr:row>22</xdr:row>
      <xdr:rowOff>76200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C250CFCB-26AA-CA6B-9F88-E270E3141CFB}"/>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5890260" y="2758440"/>
              <a:ext cx="347472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925364351853" createdVersion="8" refreshedVersion="8" minRefreshableVersion="3" recordCount="100" xr:uid="{93B03255-AD54-4851-9216-5B009FAA4B1A}">
  <cacheSource type="worksheet">
    <worksheetSource name="tblOrders"/>
  </cacheSource>
  <cacheFields count="13">
    <cacheField name="OrderID" numFmtId="0">
      <sharedItems containsSemiMixedTypes="0" containsString="0" containsNumber="1" containsInteger="1" minValue="1001" maxValue="1100"/>
    </cacheField>
    <cacheField name="RestaurantID" numFmtId="0">
      <sharedItems/>
    </cacheField>
    <cacheField name="Cuisine" numFmtId="0">
      <sharedItems count="4">
        <s v="Indian"/>
        <s v="Chinese"/>
        <s v="Italian"/>
        <s v="Mexican"/>
      </sharedItems>
    </cacheField>
    <cacheField name="Zone" numFmtId="0">
      <sharedItems count="5">
        <s v="Central"/>
        <s v="North"/>
        <s v="South"/>
        <s v="East"/>
        <s v="West"/>
      </sharedItems>
    </cacheField>
    <cacheField name="OrderDate" numFmtId="14">
      <sharedItems containsSemiMixedTypes="0" containsNonDate="0" containsDate="1" containsString="0" minDate="2026-07-01T00:00:00" maxDate="2026-10-01T00:00:00" count="92">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sharedItems>
      <fieldGroup par="12"/>
    </cacheField>
    <cacheField name="DeliveryTime" numFmtId="0">
      <sharedItems containsSemiMixedTypes="0" containsString="0" containsNumber="1" containsInteger="1" minValue="22" maxValue="65"/>
    </cacheField>
    <cacheField name="Rating" numFmtId="0">
      <sharedItems containsSemiMixedTypes="0" containsString="0" containsNumber="1" minValue="3.5" maxValue="5"/>
    </cacheField>
    <cacheField name="Revenue" numFmtId="0">
      <sharedItems containsSemiMixedTypes="0" containsString="0" containsNumber="1" containsInteger="1" minValue="400" maxValue="990"/>
    </cacheField>
    <cacheField name="Status" numFmtId="0">
      <sharedItems/>
    </cacheField>
    <cacheField name="RestaurantName" numFmtId="0">
      <sharedItems/>
    </cacheField>
    <cacheField name="Category" numFmtId="0">
      <sharedItems/>
    </cacheField>
    <cacheField name="Months (OrderDate)" numFmtId="0" databaseField="0">
      <fieldGroup base="4">
        <rangePr groupBy="months" startDate="2026-07-01T00:00:00" endDate="2026-10-01T00:00:00"/>
        <groupItems count="14">
          <s v="&lt;01/07/2026"/>
          <s v="Jan"/>
          <s v="Feb"/>
          <s v="Mar"/>
          <s v="Apr"/>
          <s v="May"/>
          <s v="Jun"/>
          <s v="Jul"/>
          <s v="Aug"/>
          <s v="Sep"/>
          <s v="Oct"/>
          <s v="Nov"/>
          <s v="Dec"/>
          <s v="&gt;01/10/2026"/>
        </groupItems>
      </fieldGroup>
    </cacheField>
    <cacheField name="Years (OrderDate)" numFmtId="0" databaseField="0">
      <fieldGroup base="4">
        <rangePr groupBy="years" startDate="2026-07-01T00:00:00" endDate="2026-10-01T00:00:00"/>
        <groupItems count="3">
          <s v="&lt;01/07/2026"/>
          <s v="2026"/>
          <s v="&gt;01/10/2026"/>
        </groupItems>
      </fieldGroup>
    </cacheField>
  </cacheFields>
  <extLst>
    <ext xmlns:x14="http://schemas.microsoft.com/office/spreadsheetml/2009/9/main" uri="{725AE2AE-9491-48be-B2B4-4EB974FC3084}">
      <x14:pivotCacheDefinition pivotCacheId="1151083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R001"/>
    <x v="0"/>
    <x v="0"/>
    <x v="0"/>
    <n v="22"/>
    <n v="3.5"/>
    <n v="400"/>
    <s v="Delivered"/>
    <s v="Spice Hub"/>
    <s v="Indian"/>
  </r>
  <r>
    <n v="1002"/>
    <s v="R002"/>
    <x v="1"/>
    <x v="1"/>
    <x v="1"/>
    <n v="29"/>
    <n v="3.8"/>
    <n v="483"/>
    <s v="Delivered"/>
    <s v="Dragon House"/>
    <s v="Chinese"/>
  </r>
  <r>
    <n v="1003"/>
    <s v="R003"/>
    <x v="2"/>
    <x v="2"/>
    <x v="2"/>
    <n v="36"/>
    <n v="4.0999999999999996"/>
    <n v="566"/>
    <s v="Delivered"/>
    <s v="Pasta Point"/>
    <s v="Italian"/>
  </r>
  <r>
    <n v="1004"/>
    <s v="R004"/>
    <x v="3"/>
    <x v="3"/>
    <x v="3"/>
    <n v="43"/>
    <n v="4.4000000000000004"/>
    <n v="649"/>
    <s v="Delivered"/>
    <s v="Taco Town"/>
    <s v="Mexican"/>
  </r>
  <r>
    <n v="1005"/>
    <s v="R005"/>
    <x v="0"/>
    <x v="4"/>
    <x v="4"/>
    <n v="50"/>
    <n v="4.7"/>
    <n v="732"/>
    <s v="Delayed"/>
    <s v="Curry Corner"/>
    <s v="Indian"/>
  </r>
  <r>
    <n v="1006"/>
    <s v="R006"/>
    <x v="1"/>
    <x v="0"/>
    <x v="5"/>
    <n v="57"/>
    <n v="5"/>
    <n v="815"/>
    <s v="Cancelled"/>
    <s v="Wok Express"/>
    <s v="Chinese"/>
  </r>
  <r>
    <n v="1007"/>
    <s v="R007"/>
    <x v="2"/>
    <x v="1"/>
    <x v="6"/>
    <n v="25"/>
    <n v="3.7"/>
    <n v="898"/>
    <s v="Delivered"/>
    <s v="Pizza Palace"/>
    <s v="Italian"/>
  </r>
  <r>
    <n v="1008"/>
    <s v="R008"/>
    <x v="3"/>
    <x v="2"/>
    <x v="7"/>
    <n v="32"/>
    <n v="4"/>
    <n v="981"/>
    <s v="Delivered"/>
    <s v="Mexican Grill"/>
    <s v="Mexican"/>
  </r>
  <r>
    <n v="1009"/>
    <s v="R009"/>
    <x v="0"/>
    <x v="3"/>
    <x v="8"/>
    <n v="39"/>
    <n v="4.3"/>
    <n v="463"/>
    <s v="Delivered"/>
    <s v="Punjabi Rasoi"/>
    <s v="Indian"/>
  </r>
  <r>
    <n v="1010"/>
    <s v="R010"/>
    <x v="1"/>
    <x v="4"/>
    <x v="9"/>
    <n v="46"/>
    <n v="4.5999999999999996"/>
    <n v="546"/>
    <s v="Delivered"/>
    <s v="China Bowl"/>
    <s v="Chinese"/>
  </r>
  <r>
    <n v="1011"/>
    <s v="R011"/>
    <x v="2"/>
    <x v="0"/>
    <x v="10"/>
    <n v="53"/>
    <n v="4.9000000000000004"/>
    <n v="629"/>
    <s v="Delayed"/>
    <s v="Italian Kitchen"/>
    <s v="Italian"/>
  </r>
  <r>
    <n v="1012"/>
    <s v="R012"/>
    <x v="3"/>
    <x v="1"/>
    <x v="11"/>
    <n v="60"/>
    <n v="3.6"/>
    <n v="712"/>
    <s v="Cancelled"/>
    <s v="Taco Fiesta"/>
    <s v="Mexican"/>
  </r>
  <r>
    <n v="1013"/>
    <s v="R013"/>
    <x v="0"/>
    <x v="2"/>
    <x v="12"/>
    <n v="28"/>
    <n v="3.9"/>
    <n v="795"/>
    <s v="Delivered"/>
    <s v="Food Junction"/>
    <s v="Indian"/>
  </r>
  <r>
    <n v="1014"/>
    <s v="R014"/>
    <x v="1"/>
    <x v="3"/>
    <x v="13"/>
    <n v="35"/>
    <n v="4.2"/>
    <n v="878"/>
    <s v="Delivered"/>
    <s v="Noodle House"/>
    <s v="Chinese"/>
  </r>
  <r>
    <n v="1015"/>
    <s v="R015"/>
    <x v="2"/>
    <x v="4"/>
    <x v="14"/>
    <n v="42"/>
    <n v="4.5"/>
    <n v="961"/>
    <s v="Delivered"/>
    <s v="Pizza Corner"/>
    <s v="Italian"/>
  </r>
  <r>
    <n v="1016"/>
    <s v="R001"/>
    <x v="0"/>
    <x v="0"/>
    <x v="15"/>
    <n v="49"/>
    <n v="4.8"/>
    <n v="443"/>
    <s v="Delivered"/>
    <s v="Unknown"/>
    <s v="Unknown"/>
  </r>
  <r>
    <n v="1017"/>
    <s v="R002"/>
    <x v="1"/>
    <x v="1"/>
    <x v="16"/>
    <n v="56"/>
    <n v="3.5"/>
    <n v="526"/>
    <s v="Delayed"/>
    <s v="Unknown"/>
    <s v="Unknown"/>
  </r>
  <r>
    <n v="1018"/>
    <s v="R003"/>
    <x v="2"/>
    <x v="2"/>
    <x v="17"/>
    <n v="24"/>
    <n v="3.8"/>
    <n v="609"/>
    <s v="Cancelled"/>
    <s v="Unknown"/>
    <s v="Unknown"/>
  </r>
  <r>
    <n v="1019"/>
    <s v="R004"/>
    <x v="3"/>
    <x v="3"/>
    <x v="18"/>
    <n v="65"/>
    <n v="4.0999999999999996"/>
    <n v="692"/>
    <s v="Delivered"/>
    <s v="Unknown"/>
    <s v="Unknown"/>
  </r>
  <r>
    <n v="1020"/>
    <s v="R005"/>
    <x v="0"/>
    <x v="4"/>
    <x v="19"/>
    <n v="38"/>
    <n v="4.4000000000000004"/>
    <n v="775"/>
    <s v="Delivered"/>
    <s v="Unknown"/>
    <s v="Unknown"/>
  </r>
  <r>
    <n v="1021"/>
    <s v="R006"/>
    <x v="1"/>
    <x v="0"/>
    <x v="20"/>
    <n v="45"/>
    <n v="4.7"/>
    <n v="858"/>
    <s v="Delivered"/>
    <s v="Unknown"/>
    <s v="Unknown"/>
  </r>
  <r>
    <n v="1022"/>
    <s v="R007"/>
    <x v="2"/>
    <x v="1"/>
    <x v="21"/>
    <n v="52"/>
    <n v="5"/>
    <n v="941"/>
    <s v="Delivered"/>
    <s v="Unknown"/>
    <s v="Unknown"/>
  </r>
  <r>
    <n v="1023"/>
    <s v="R008"/>
    <x v="3"/>
    <x v="2"/>
    <x v="22"/>
    <n v="59"/>
    <n v="3.7"/>
    <n v="423"/>
    <s v="Delayed"/>
    <s v="Unknown"/>
    <s v="Unknown"/>
  </r>
  <r>
    <n v="1024"/>
    <s v="R009"/>
    <x v="0"/>
    <x v="3"/>
    <x v="23"/>
    <n v="27"/>
    <n v="4"/>
    <n v="506"/>
    <s v="Cancelled"/>
    <s v="Unknown"/>
    <s v="Unknown"/>
  </r>
  <r>
    <n v="1025"/>
    <s v="R010"/>
    <x v="1"/>
    <x v="4"/>
    <x v="24"/>
    <n v="34"/>
    <n v="4.3"/>
    <n v="589"/>
    <s v="Delivered"/>
    <s v="Unknown"/>
    <s v="Unknown"/>
  </r>
  <r>
    <n v="1026"/>
    <s v="R011"/>
    <x v="2"/>
    <x v="0"/>
    <x v="25"/>
    <n v="41"/>
    <n v="4.5999999999999996"/>
    <n v="672"/>
    <s v="Delivered"/>
    <s v="Unknown"/>
    <s v="Unknown"/>
  </r>
  <r>
    <n v="1027"/>
    <s v="R012"/>
    <x v="3"/>
    <x v="1"/>
    <x v="26"/>
    <n v="48"/>
    <n v="4.9000000000000004"/>
    <n v="755"/>
    <s v="Delivered"/>
    <s v="Unknown"/>
    <s v="Unknown"/>
  </r>
  <r>
    <n v="1028"/>
    <s v="R013"/>
    <x v="0"/>
    <x v="2"/>
    <x v="27"/>
    <n v="55"/>
    <n v="3.6"/>
    <n v="838"/>
    <s v="Delivered"/>
    <s v="Unknown"/>
    <s v="Unknown"/>
  </r>
  <r>
    <n v="1029"/>
    <s v="R014"/>
    <x v="1"/>
    <x v="3"/>
    <x v="28"/>
    <n v="23"/>
    <n v="3.9"/>
    <n v="921"/>
    <s v="Delayed"/>
    <s v="Unknown"/>
    <s v="Unknown"/>
  </r>
  <r>
    <n v="1030"/>
    <s v="R015"/>
    <x v="2"/>
    <x v="4"/>
    <x v="29"/>
    <n v="30"/>
    <n v="4.2"/>
    <n v="403"/>
    <s v="Cancelled"/>
    <s v="Unknown"/>
    <s v="Unknown"/>
  </r>
  <r>
    <n v="1031"/>
    <s v="R001"/>
    <x v="0"/>
    <x v="0"/>
    <x v="30"/>
    <n v="37"/>
    <n v="4.5"/>
    <n v="486"/>
    <s v="Delivered"/>
    <s v="Unknown"/>
    <s v="Unknown"/>
  </r>
  <r>
    <n v="1032"/>
    <s v="R002"/>
    <x v="1"/>
    <x v="1"/>
    <x v="31"/>
    <n v="44"/>
    <n v="4.8"/>
    <n v="569"/>
    <s v="Delivered"/>
    <s v="Unknown"/>
    <s v="Unknown"/>
  </r>
  <r>
    <n v="1033"/>
    <s v="R003"/>
    <x v="2"/>
    <x v="2"/>
    <x v="32"/>
    <n v="51"/>
    <n v="3.5"/>
    <n v="652"/>
    <s v="Delivered"/>
    <s v="Unknown"/>
    <s v="Unknown"/>
  </r>
  <r>
    <n v="1034"/>
    <s v="R004"/>
    <x v="3"/>
    <x v="3"/>
    <x v="33"/>
    <n v="58"/>
    <n v="3.8"/>
    <n v="735"/>
    <s v="Delivered"/>
    <s v="Unknown"/>
    <s v="Unknown"/>
  </r>
  <r>
    <n v="1035"/>
    <s v="R005"/>
    <x v="0"/>
    <x v="4"/>
    <x v="34"/>
    <n v="26"/>
    <n v="4.0999999999999996"/>
    <n v="818"/>
    <s v="Delayed"/>
    <s v="Unknown"/>
    <s v="Unknown"/>
  </r>
  <r>
    <n v="1036"/>
    <s v="R006"/>
    <x v="1"/>
    <x v="0"/>
    <x v="35"/>
    <n v="33"/>
    <n v="4.4000000000000004"/>
    <n v="901"/>
    <s v="Cancelled"/>
    <s v="Unknown"/>
    <s v="Unknown"/>
  </r>
  <r>
    <n v="1037"/>
    <s v="R007"/>
    <x v="2"/>
    <x v="1"/>
    <x v="36"/>
    <n v="40"/>
    <n v="4.7"/>
    <n v="984"/>
    <s v="Delivered"/>
    <s v="Unknown"/>
    <s v="Unknown"/>
  </r>
  <r>
    <n v="1038"/>
    <s v="R008"/>
    <x v="3"/>
    <x v="2"/>
    <x v="37"/>
    <n v="47"/>
    <n v="5"/>
    <n v="466"/>
    <s v="Delivered"/>
    <s v="Unknown"/>
    <s v="Unknown"/>
  </r>
  <r>
    <n v="1039"/>
    <s v="R009"/>
    <x v="0"/>
    <x v="3"/>
    <x v="38"/>
    <n v="54"/>
    <n v="3.7"/>
    <n v="549"/>
    <s v="Delivered"/>
    <s v="Unknown"/>
    <s v="Unknown"/>
  </r>
  <r>
    <n v="1040"/>
    <s v="R010"/>
    <x v="1"/>
    <x v="4"/>
    <x v="39"/>
    <n v="22"/>
    <n v="4"/>
    <n v="632"/>
    <s v="Delivered"/>
    <s v="Unknown"/>
    <s v="Unknown"/>
  </r>
  <r>
    <n v="1041"/>
    <s v="R011"/>
    <x v="2"/>
    <x v="0"/>
    <x v="40"/>
    <n v="29"/>
    <n v="4.3"/>
    <n v="715"/>
    <s v="Delayed"/>
    <s v="Unknown"/>
    <s v="Unknown"/>
  </r>
  <r>
    <n v="1042"/>
    <s v="R012"/>
    <x v="3"/>
    <x v="1"/>
    <x v="41"/>
    <n v="36"/>
    <n v="4.5999999999999996"/>
    <n v="798"/>
    <s v="Cancelled"/>
    <s v="Unknown"/>
    <s v="Unknown"/>
  </r>
  <r>
    <n v="1043"/>
    <s v="R013"/>
    <x v="0"/>
    <x v="2"/>
    <x v="42"/>
    <n v="43"/>
    <n v="4.9000000000000004"/>
    <n v="881"/>
    <s v="Delivered"/>
    <s v="Unknown"/>
    <s v="Unknown"/>
  </r>
  <r>
    <n v="1044"/>
    <s v="R014"/>
    <x v="1"/>
    <x v="3"/>
    <x v="43"/>
    <n v="50"/>
    <n v="3.6"/>
    <n v="964"/>
    <s v="Delivered"/>
    <s v="Unknown"/>
    <s v="Unknown"/>
  </r>
  <r>
    <n v="1045"/>
    <s v="R015"/>
    <x v="2"/>
    <x v="4"/>
    <x v="44"/>
    <n v="57"/>
    <n v="3.9"/>
    <n v="446"/>
    <s v="Delivered"/>
    <s v="Unknown"/>
    <s v="Unknown"/>
  </r>
  <r>
    <n v="1046"/>
    <s v="R001"/>
    <x v="0"/>
    <x v="0"/>
    <x v="45"/>
    <n v="25"/>
    <n v="4.2"/>
    <n v="529"/>
    <s v="Delivered"/>
    <s v="Unknown"/>
    <s v="Unknown"/>
  </r>
  <r>
    <n v="1047"/>
    <s v="R002"/>
    <x v="1"/>
    <x v="1"/>
    <x v="46"/>
    <n v="32"/>
    <n v="4.5"/>
    <n v="612"/>
    <s v="Delayed"/>
    <s v="Unknown"/>
    <s v="Unknown"/>
  </r>
  <r>
    <n v="1048"/>
    <s v="R003"/>
    <x v="2"/>
    <x v="2"/>
    <x v="47"/>
    <n v="65"/>
    <n v="4.8"/>
    <n v="695"/>
    <s v="Cancelled"/>
    <s v="Unknown"/>
    <s v="Unknown"/>
  </r>
  <r>
    <n v="1049"/>
    <s v="R004"/>
    <x v="3"/>
    <x v="3"/>
    <x v="48"/>
    <n v="46"/>
    <n v="3.5"/>
    <n v="778"/>
    <s v="Delivered"/>
    <s v="Unknown"/>
    <s v="Unknown"/>
  </r>
  <r>
    <n v="1050"/>
    <s v="R005"/>
    <x v="0"/>
    <x v="4"/>
    <x v="49"/>
    <n v="53"/>
    <n v="3.8"/>
    <n v="861"/>
    <s v="Delivered"/>
    <s v="Unknown"/>
    <s v="Unknown"/>
  </r>
  <r>
    <n v="1051"/>
    <s v="R006"/>
    <x v="1"/>
    <x v="0"/>
    <x v="50"/>
    <n v="60"/>
    <n v="4.0999999999999996"/>
    <n v="944"/>
    <s v="Delivered"/>
    <s v="Unknown"/>
    <s v="Unknown"/>
  </r>
  <r>
    <n v="1052"/>
    <s v="R007"/>
    <x v="2"/>
    <x v="1"/>
    <x v="51"/>
    <n v="28"/>
    <n v="4.4000000000000004"/>
    <n v="426"/>
    <s v="Delivered"/>
    <s v="Unknown"/>
    <s v="Unknown"/>
  </r>
  <r>
    <n v="1053"/>
    <s v="R008"/>
    <x v="3"/>
    <x v="2"/>
    <x v="52"/>
    <n v="35"/>
    <n v="4.7"/>
    <n v="509"/>
    <s v="Delayed"/>
    <s v="Unknown"/>
    <s v="Unknown"/>
  </r>
  <r>
    <n v="1054"/>
    <s v="R009"/>
    <x v="0"/>
    <x v="3"/>
    <x v="53"/>
    <n v="42"/>
    <n v="5"/>
    <n v="592"/>
    <s v="Cancelled"/>
    <s v="Unknown"/>
    <s v="Unknown"/>
  </r>
  <r>
    <n v="1055"/>
    <s v="R010"/>
    <x v="1"/>
    <x v="4"/>
    <x v="54"/>
    <n v="49"/>
    <n v="3.7"/>
    <n v="675"/>
    <s v="Delivered"/>
    <s v="Unknown"/>
    <s v="Unknown"/>
  </r>
  <r>
    <n v="1056"/>
    <s v="R011"/>
    <x v="2"/>
    <x v="0"/>
    <x v="55"/>
    <n v="56"/>
    <n v="4"/>
    <n v="758"/>
    <s v="Delivered"/>
    <s v="Unknown"/>
    <s v="Unknown"/>
  </r>
  <r>
    <n v="1057"/>
    <s v="R012"/>
    <x v="3"/>
    <x v="1"/>
    <x v="56"/>
    <n v="24"/>
    <n v="4.3"/>
    <n v="841"/>
    <s v="Delivered"/>
    <s v="Unknown"/>
    <s v="Unknown"/>
  </r>
  <r>
    <n v="1058"/>
    <s v="R013"/>
    <x v="0"/>
    <x v="2"/>
    <x v="57"/>
    <n v="31"/>
    <n v="4.5999999999999996"/>
    <n v="924"/>
    <s v="Delivered"/>
    <s v="Unknown"/>
    <s v="Unknown"/>
  </r>
  <r>
    <n v="1059"/>
    <s v="R014"/>
    <x v="1"/>
    <x v="3"/>
    <x v="58"/>
    <n v="38"/>
    <n v="4.9000000000000004"/>
    <n v="406"/>
    <s v="Delayed"/>
    <s v="Unknown"/>
    <s v="Unknown"/>
  </r>
  <r>
    <n v="1060"/>
    <s v="R015"/>
    <x v="2"/>
    <x v="4"/>
    <x v="59"/>
    <n v="45"/>
    <n v="3.6"/>
    <n v="489"/>
    <s v="Cancelled"/>
    <s v="Unknown"/>
    <s v="Unknown"/>
  </r>
  <r>
    <n v="1061"/>
    <s v="R001"/>
    <x v="0"/>
    <x v="0"/>
    <x v="60"/>
    <n v="52"/>
    <n v="3.9"/>
    <n v="572"/>
    <s v="Delivered"/>
    <s v="Unknown"/>
    <s v="Unknown"/>
  </r>
  <r>
    <n v="1062"/>
    <s v="R002"/>
    <x v="1"/>
    <x v="1"/>
    <x v="61"/>
    <n v="59"/>
    <n v="4.2"/>
    <n v="655"/>
    <s v="Delivered"/>
    <s v="Unknown"/>
    <s v="Unknown"/>
  </r>
  <r>
    <n v="1063"/>
    <s v="R003"/>
    <x v="2"/>
    <x v="2"/>
    <x v="62"/>
    <n v="27"/>
    <n v="4.5"/>
    <n v="738"/>
    <s v="Delivered"/>
    <s v="Unknown"/>
    <s v="Unknown"/>
  </r>
  <r>
    <n v="1064"/>
    <s v="R004"/>
    <x v="3"/>
    <x v="3"/>
    <x v="63"/>
    <n v="34"/>
    <n v="4.8"/>
    <n v="821"/>
    <s v="Delivered"/>
    <s v="Unknown"/>
    <s v="Unknown"/>
  </r>
  <r>
    <n v="1065"/>
    <s v="R005"/>
    <x v="0"/>
    <x v="4"/>
    <x v="64"/>
    <n v="41"/>
    <n v="3.5"/>
    <n v="904"/>
    <s v="Delayed"/>
    <s v="Unknown"/>
    <s v="Unknown"/>
  </r>
  <r>
    <n v="1066"/>
    <s v="R006"/>
    <x v="1"/>
    <x v="0"/>
    <x v="65"/>
    <n v="48"/>
    <n v="3.8"/>
    <n v="987"/>
    <s v="Cancelled"/>
    <s v="Unknown"/>
    <s v="Unknown"/>
  </r>
  <r>
    <n v="1067"/>
    <s v="R007"/>
    <x v="2"/>
    <x v="1"/>
    <x v="66"/>
    <n v="55"/>
    <n v="4.0999999999999996"/>
    <n v="469"/>
    <s v="Delivered"/>
    <s v="Unknown"/>
    <s v="Unknown"/>
  </r>
  <r>
    <n v="1068"/>
    <s v="R008"/>
    <x v="3"/>
    <x v="2"/>
    <x v="67"/>
    <n v="23"/>
    <n v="4.4000000000000004"/>
    <n v="552"/>
    <s v="Delivered"/>
    <s v="Unknown"/>
    <s v="Unknown"/>
  </r>
  <r>
    <n v="1069"/>
    <s v="R009"/>
    <x v="0"/>
    <x v="3"/>
    <x v="68"/>
    <n v="30"/>
    <n v="4.7"/>
    <n v="635"/>
    <s v="Delivered"/>
    <s v="Unknown"/>
    <s v="Unknown"/>
  </r>
  <r>
    <n v="1070"/>
    <s v="R010"/>
    <x v="1"/>
    <x v="4"/>
    <x v="69"/>
    <n v="37"/>
    <n v="5"/>
    <n v="718"/>
    <s v="Delivered"/>
    <s v="Unknown"/>
    <s v="Unknown"/>
  </r>
  <r>
    <n v="1071"/>
    <s v="R011"/>
    <x v="2"/>
    <x v="0"/>
    <x v="70"/>
    <n v="44"/>
    <n v="3.7"/>
    <n v="801"/>
    <s v="Delayed"/>
    <s v="Unknown"/>
    <s v="Unknown"/>
  </r>
  <r>
    <n v="1072"/>
    <s v="R012"/>
    <x v="3"/>
    <x v="1"/>
    <x v="71"/>
    <n v="51"/>
    <n v="4"/>
    <n v="884"/>
    <s v="Cancelled"/>
    <s v="Unknown"/>
    <s v="Unknown"/>
  </r>
  <r>
    <n v="1073"/>
    <s v="R013"/>
    <x v="0"/>
    <x v="2"/>
    <x v="72"/>
    <n v="58"/>
    <n v="4.3"/>
    <n v="967"/>
    <s v="Delivered"/>
    <s v="Unknown"/>
    <s v="Unknown"/>
  </r>
  <r>
    <n v="1074"/>
    <s v="R014"/>
    <x v="1"/>
    <x v="3"/>
    <x v="73"/>
    <n v="26"/>
    <n v="4.5999999999999996"/>
    <n v="449"/>
    <s v="Delivered"/>
    <s v="Unknown"/>
    <s v="Unknown"/>
  </r>
  <r>
    <n v="1075"/>
    <s v="R015"/>
    <x v="2"/>
    <x v="4"/>
    <x v="74"/>
    <n v="33"/>
    <n v="4.9000000000000004"/>
    <n v="532"/>
    <s v="Delivered"/>
    <s v="Unknown"/>
    <s v="Unknown"/>
  </r>
  <r>
    <n v="1076"/>
    <s v="R001"/>
    <x v="0"/>
    <x v="0"/>
    <x v="75"/>
    <n v="40"/>
    <n v="3.6"/>
    <n v="615"/>
    <s v="Delivered"/>
    <s v="Unknown"/>
    <s v="Unknown"/>
  </r>
  <r>
    <n v="1077"/>
    <s v="R002"/>
    <x v="1"/>
    <x v="1"/>
    <x v="76"/>
    <n v="65"/>
    <n v="3.9"/>
    <n v="698"/>
    <s v="Delayed"/>
    <s v="Unknown"/>
    <s v="Unknown"/>
  </r>
  <r>
    <n v="1078"/>
    <s v="R003"/>
    <x v="2"/>
    <x v="2"/>
    <x v="77"/>
    <n v="54"/>
    <n v="4.2"/>
    <n v="781"/>
    <s v="Cancelled"/>
    <s v="Unknown"/>
    <s v="Unknown"/>
  </r>
  <r>
    <n v="1079"/>
    <s v="R004"/>
    <x v="3"/>
    <x v="3"/>
    <x v="78"/>
    <n v="22"/>
    <n v="4.5"/>
    <n v="864"/>
    <s v="Delivered"/>
    <s v="Unknown"/>
    <s v="Unknown"/>
  </r>
  <r>
    <n v="1080"/>
    <s v="R005"/>
    <x v="0"/>
    <x v="4"/>
    <x v="79"/>
    <n v="29"/>
    <n v="4.8"/>
    <n v="947"/>
    <s v="Delivered"/>
    <s v="Unknown"/>
    <s v="Unknown"/>
  </r>
  <r>
    <n v="1081"/>
    <s v="R006"/>
    <x v="1"/>
    <x v="0"/>
    <x v="80"/>
    <n v="36"/>
    <n v="3.5"/>
    <n v="429"/>
    <s v="Delivered"/>
    <s v="Unknown"/>
    <s v="Unknown"/>
  </r>
  <r>
    <n v="1082"/>
    <s v="R007"/>
    <x v="2"/>
    <x v="1"/>
    <x v="81"/>
    <n v="43"/>
    <n v="3.8"/>
    <n v="512"/>
    <s v="Delivered"/>
    <s v="Unknown"/>
    <s v="Unknown"/>
  </r>
  <r>
    <n v="1083"/>
    <s v="R008"/>
    <x v="3"/>
    <x v="2"/>
    <x v="82"/>
    <n v="50"/>
    <n v="4.0999999999999996"/>
    <n v="595"/>
    <s v="Delayed"/>
    <s v="Unknown"/>
    <s v="Unknown"/>
  </r>
  <r>
    <n v="1084"/>
    <s v="R009"/>
    <x v="0"/>
    <x v="3"/>
    <x v="83"/>
    <n v="57"/>
    <n v="4.4000000000000004"/>
    <n v="678"/>
    <s v="Cancelled"/>
    <s v="Unknown"/>
    <s v="Unknown"/>
  </r>
  <r>
    <n v="1085"/>
    <s v="R010"/>
    <x v="1"/>
    <x v="4"/>
    <x v="84"/>
    <n v="25"/>
    <n v="4.7"/>
    <n v="761"/>
    <s v="Delivered"/>
    <s v="Unknown"/>
    <s v="Unknown"/>
  </r>
  <r>
    <n v="1086"/>
    <s v="R011"/>
    <x v="2"/>
    <x v="0"/>
    <x v="85"/>
    <n v="32"/>
    <n v="5"/>
    <n v="844"/>
    <s v="Delivered"/>
    <s v="Unknown"/>
    <s v="Unknown"/>
  </r>
  <r>
    <n v="1087"/>
    <s v="R012"/>
    <x v="3"/>
    <x v="1"/>
    <x v="86"/>
    <n v="39"/>
    <n v="3.7"/>
    <n v="927"/>
    <s v="Delivered"/>
    <s v="Unknown"/>
    <s v="Unknown"/>
  </r>
  <r>
    <n v="1088"/>
    <s v="R013"/>
    <x v="0"/>
    <x v="2"/>
    <x v="87"/>
    <n v="46"/>
    <n v="4"/>
    <n v="409"/>
    <s v="Delivered"/>
    <s v="Unknown"/>
    <s v="Unknown"/>
  </r>
  <r>
    <n v="1089"/>
    <s v="R014"/>
    <x v="1"/>
    <x v="3"/>
    <x v="88"/>
    <n v="53"/>
    <n v="4.3"/>
    <n v="492"/>
    <s v="Delayed"/>
    <s v="Unknown"/>
    <s v="Unknown"/>
  </r>
  <r>
    <n v="1090"/>
    <s v="R015"/>
    <x v="2"/>
    <x v="4"/>
    <x v="89"/>
    <n v="60"/>
    <n v="4.5999999999999996"/>
    <n v="575"/>
    <s v="Cancelled"/>
    <s v="Unknown"/>
    <s v="Unknown"/>
  </r>
  <r>
    <n v="1091"/>
    <s v="R001"/>
    <x v="0"/>
    <x v="0"/>
    <x v="90"/>
    <n v="28"/>
    <n v="4.9000000000000004"/>
    <n v="658"/>
    <s v="Delivered"/>
    <s v="Unknown"/>
    <s v="Unknown"/>
  </r>
  <r>
    <n v="1092"/>
    <s v="R002"/>
    <x v="1"/>
    <x v="1"/>
    <x v="91"/>
    <n v="35"/>
    <n v="3.6"/>
    <n v="741"/>
    <s v="Delivered"/>
    <s v="Unknown"/>
    <s v="Unknown"/>
  </r>
  <r>
    <n v="1093"/>
    <s v="R003"/>
    <x v="2"/>
    <x v="2"/>
    <x v="0"/>
    <n v="42"/>
    <n v="3.9"/>
    <n v="824"/>
    <s v="Delivered"/>
    <s v="Unknown"/>
    <s v="Unknown"/>
  </r>
  <r>
    <n v="1094"/>
    <s v="R004"/>
    <x v="3"/>
    <x v="3"/>
    <x v="1"/>
    <n v="49"/>
    <n v="4.2"/>
    <n v="907"/>
    <s v="Delivered"/>
    <s v="Unknown"/>
    <s v="Unknown"/>
  </r>
  <r>
    <n v="1095"/>
    <s v="R005"/>
    <x v="0"/>
    <x v="4"/>
    <x v="2"/>
    <n v="56"/>
    <n v="4.5"/>
    <n v="990"/>
    <s v="Delayed"/>
    <s v="Unknown"/>
    <s v="Unknown"/>
  </r>
  <r>
    <n v="1096"/>
    <s v="R006"/>
    <x v="1"/>
    <x v="0"/>
    <x v="3"/>
    <n v="65"/>
    <n v="4.8"/>
    <n v="472"/>
    <s v="Cancelled"/>
    <s v="Unknown"/>
    <s v="Unknown"/>
  </r>
  <r>
    <n v="1097"/>
    <s v="R007"/>
    <x v="2"/>
    <x v="1"/>
    <x v="4"/>
    <n v="31"/>
    <n v="3.5"/>
    <n v="555"/>
    <s v="Delivered"/>
    <s v="Unknown"/>
    <s v="Unknown"/>
  </r>
  <r>
    <n v="1098"/>
    <s v="R008"/>
    <x v="3"/>
    <x v="2"/>
    <x v="5"/>
    <n v="38"/>
    <n v="3.8"/>
    <n v="638"/>
    <s v="Delivered"/>
    <s v="Unknown"/>
    <s v="Unknown"/>
  </r>
  <r>
    <n v="1099"/>
    <s v="R009"/>
    <x v="0"/>
    <x v="3"/>
    <x v="6"/>
    <n v="45"/>
    <n v="4.0999999999999996"/>
    <n v="721"/>
    <s v="Delivered"/>
    <s v="Unknown"/>
    <s v="Unknown"/>
  </r>
  <r>
    <n v="1100"/>
    <s v="R010"/>
    <x v="1"/>
    <x v="4"/>
    <x v="7"/>
    <n v="52"/>
    <n v="4.4000000000000004"/>
    <n v="804"/>
    <s v="Delivered"/>
    <s v="Unknown"/>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561A7D-B71C-4E67-AAF0-D821BFDF2B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dataField="1" showAll="0"/>
    <pivotField showAll="0"/>
    <pivotField showAll="0"/>
    <pivotField showAll="0">
      <items count="6">
        <item x="0"/>
        <item x="3"/>
        <item x="1"/>
        <item x="2"/>
        <item x="4"/>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2"/>
    <field x="11"/>
  </rowFields>
  <rowItems count="5">
    <i>
      <x v="1"/>
    </i>
    <i r="1">
      <x v="7"/>
    </i>
    <i r="1">
      <x v="8"/>
    </i>
    <i r="1">
      <x v="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C1D23-1CA6-4694-A510-B39739834D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3">
    <pivotField showAll="0"/>
    <pivotField showAll="0"/>
    <pivotField axis="axisRow" showAll="0">
      <items count="5">
        <item x="1"/>
        <item x="0"/>
        <item x="2"/>
        <item x="3"/>
        <item t="default"/>
      </items>
    </pivotField>
    <pivotField axis="axisCol" showAll="0">
      <items count="6">
        <item x="0"/>
        <item x="3"/>
        <item x="1"/>
        <item x="2"/>
        <item x="4"/>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DA532-0C6A-42E3-BFC4-2E0EDA93113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8:J13" firstHeaderRow="1" firstDataRow="1" firstDataCol="1"/>
  <pivotFields count="13">
    <pivotField dataField="1" showAll="0"/>
    <pivotField showAll="0"/>
    <pivotField showAll="0"/>
    <pivotField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2"/>
    <field x="11"/>
  </rowFields>
  <rowItems count="5">
    <i>
      <x v="1"/>
    </i>
    <i r="1">
      <x v="7"/>
    </i>
    <i r="1">
      <x v="8"/>
    </i>
    <i r="1">
      <x v="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CC94C0-8F8C-4F7D-BCA7-3966AF368A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G14" firstHeaderRow="1" firstDataRow="2" firstDataCol="1"/>
  <pivotFields count="13">
    <pivotField showAll="0"/>
    <pivotField showAll="0"/>
    <pivotField axis="axisRow" showAll="0">
      <items count="5">
        <item x="1"/>
        <item x="0"/>
        <item x="2"/>
        <item x="3"/>
        <item t="default"/>
      </items>
    </pivotField>
    <pivotField axis="axisCol" showAll="0">
      <items count="6">
        <item x="0"/>
        <item x="3"/>
        <item x="1"/>
        <item x="2"/>
        <item x="4"/>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57063D56-81AF-4DB8-A2B7-995CFCB63B70}" sourceName="Zone">
  <pivotTables>
    <pivotTable tabId="7" name="PivotTable3"/>
    <pivotTable tabId="5" name="PivotTable1"/>
    <pivotTable tabId="6" name="PivotTable2"/>
  </pivotTables>
  <data>
    <tabular pivotCacheId="1151083744">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FD3A81AE-FD8F-426D-9E39-6734D0D206B7}" cache="Slicer_Zone" caption="Zone" columnCount="3"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BABC85-860D-40A3-B5F2-20019B062C61}" name="tblOrders" displayName="tblOrders" ref="A1:K101" totalsRowShown="0">
  <autoFilter ref="A1:K101" xr:uid="{56BABC85-860D-40A3-B5F2-20019B062C61}"/>
  <tableColumns count="11">
    <tableColumn id="1" xr3:uid="{D9C8157A-24A3-49E8-8C69-13FF06BD0F89}" name="OrderID"/>
    <tableColumn id="2" xr3:uid="{DB3822B6-501F-4197-931D-9D49F4B334B3}" name="RestaurantID"/>
    <tableColumn id="3" xr3:uid="{E1988D49-BFDB-4C02-92DD-5E734E651388}" name="Cuisine"/>
    <tableColumn id="4" xr3:uid="{A28B91F8-7FA1-4B88-A195-F0A0143D0D98}" name="Zone"/>
    <tableColumn id="5" xr3:uid="{FA7DF908-BBE3-4B19-99A9-110EEF28B18B}" name="OrderDate" dataDxfId="3"/>
    <tableColumn id="6" xr3:uid="{94DA1EFD-38CF-481A-97CC-E64942C9F802}" name="DeliveryTime"/>
    <tableColumn id="7" xr3:uid="{B9C69971-EE6A-4C33-ACBD-47617F5E46EC}" name="Rating"/>
    <tableColumn id="8" xr3:uid="{DDA67A8F-62DC-4AEB-AB2B-DD98B2506E36}" name="Revenue"/>
    <tableColumn id="9" xr3:uid="{82450D54-6DD6-49D6-8075-4365041EAAF4}" name="Status"/>
    <tableColumn id="10" xr3:uid="{B471BA4F-0151-43C9-A7B8-7D9ED6492A3B}" name="RestaurantName" dataDxfId="2">
      <calculatedColumnFormula>_xlfn.XLOOKUP(tblOrders[[#This Row],[RestaurantID]],Restaurants!A2:A16,Restaurants!B2:B16,"Unknown")</calculatedColumnFormula>
    </tableColumn>
    <tableColumn id="11" xr3:uid="{32922612-F0DF-4844-8230-2190F2412DEA}" name="Category" dataDxfId="1">
      <calculatedColumnFormula>_xlfn.XLOOKUP(tblOrders[[#This Row],[RestaurantID]],Restaurants!A2:A16,Restaurants!C2:C16,"Unknown")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81DBEEE3-8E3C-4188-A52D-AD5E7048AFC9}" sourceName="OrderDate">
  <pivotTables>
    <pivotTable tabId="7" name="PivotTable4"/>
  </pivotTables>
  <state minimalRefreshVersion="6" lastRefreshVersion="6" pivotCacheId="1151083744"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D5EAC5B-F7C8-4AC3-AF17-911884F21A0D}" cache="NativeTimeline_OrderDate" caption="OrderDate" level="2" selectionLevel="2" scrollPosition="2026-05-19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C7AC-31AA-4371-ABFA-D3A5521141AA}">
  <dimension ref="A1:K101"/>
  <sheetViews>
    <sheetView topLeftCell="A2" workbookViewId="0">
      <selection activeCell="H9" sqref="H9"/>
    </sheetView>
  </sheetViews>
  <sheetFormatPr defaultRowHeight="14.4" x14ac:dyDescent="0.3"/>
  <cols>
    <col min="1" max="1" width="9.44140625" customWidth="1"/>
    <col min="2" max="2" width="13.6640625" customWidth="1"/>
    <col min="3" max="3" width="9.109375" customWidth="1"/>
    <col min="5" max="5" width="11.5546875" customWidth="1"/>
    <col min="6" max="6" width="13.77734375" customWidth="1"/>
    <col min="8" max="8" width="9.88671875" customWidth="1"/>
    <col min="10" max="10" width="17.33203125" bestFit="1" customWidth="1"/>
  </cols>
  <sheetData>
    <row r="1" spans="1:11" x14ac:dyDescent="0.3">
      <c r="A1" t="s">
        <v>0</v>
      </c>
      <c r="B1" t="s">
        <v>1</v>
      </c>
      <c r="C1" t="s">
        <v>2</v>
      </c>
      <c r="D1" t="s">
        <v>3</v>
      </c>
      <c r="E1" t="s">
        <v>4</v>
      </c>
      <c r="F1" t="s">
        <v>5</v>
      </c>
      <c r="G1" t="s">
        <v>6</v>
      </c>
      <c r="H1" t="s">
        <v>7</v>
      </c>
      <c r="I1" t="s">
        <v>8</v>
      </c>
      <c r="J1" t="s">
        <v>36</v>
      </c>
      <c r="K1" t="s">
        <v>37</v>
      </c>
    </row>
    <row r="2" spans="1:11" x14ac:dyDescent="0.3">
      <c r="A2">
        <v>1001</v>
      </c>
      <c r="B2" t="s">
        <v>9</v>
      </c>
      <c r="C2" t="s">
        <v>10</v>
      </c>
      <c r="D2" t="s">
        <v>11</v>
      </c>
      <c r="E2" s="1">
        <v>46204</v>
      </c>
      <c r="F2">
        <v>22</v>
      </c>
      <c r="G2">
        <v>3.5</v>
      </c>
      <c r="H2">
        <v>400</v>
      </c>
      <c r="I2" t="s">
        <v>12</v>
      </c>
      <c r="J2" t="str">
        <f>_xlfn.XLOOKUP(tblOrders[[#This Row],[RestaurantID]],Restaurants!A2:A16,Restaurants!B2:B16,"Unknown")</f>
        <v>Spice Hub</v>
      </c>
      <c r="K2" t="str">
        <f>_xlfn.XLOOKUP(tblOrders[[#This Row],[RestaurantID]],Restaurants!A2:A16,Restaurants!C2:C16,"Unknown")</f>
        <v>Indian</v>
      </c>
    </row>
    <row r="3" spans="1:11" x14ac:dyDescent="0.3">
      <c r="A3">
        <v>1002</v>
      </c>
      <c r="B3" t="s">
        <v>13</v>
      </c>
      <c r="C3" t="s">
        <v>14</v>
      </c>
      <c r="D3" t="s">
        <v>15</v>
      </c>
      <c r="E3" s="1">
        <v>46205</v>
      </c>
      <c r="F3">
        <v>29</v>
      </c>
      <c r="G3">
        <v>3.8</v>
      </c>
      <c r="H3">
        <v>483</v>
      </c>
      <c r="I3" t="s">
        <v>12</v>
      </c>
      <c r="J3" t="str">
        <f>_xlfn.XLOOKUP(tblOrders[[#This Row],[RestaurantID]],Restaurants!A3:A17,Restaurants!B3:B17,"Unknown")</f>
        <v>Dragon House</v>
      </c>
      <c r="K3" t="str">
        <f>_xlfn.XLOOKUP(tblOrders[[#This Row],[RestaurantID]],Restaurants!A3:A17,Restaurants!C3:C17,"Unknown")</f>
        <v>Chinese</v>
      </c>
    </row>
    <row r="4" spans="1:11" x14ac:dyDescent="0.3">
      <c r="A4">
        <v>1003</v>
      </c>
      <c r="B4" t="s">
        <v>16</v>
      </c>
      <c r="C4" t="s">
        <v>17</v>
      </c>
      <c r="D4" t="s">
        <v>18</v>
      </c>
      <c r="E4" s="1">
        <v>46206</v>
      </c>
      <c r="F4">
        <v>36</v>
      </c>
      <c r="G4">
        <v>4.0999999999999996</v>
      </c>
      <c r="H4">
        <v>566</v>
      </c>
      <c r="I4" t="s">
        <v>12</v>
      </c>
      <c r="J4" t="str">
        <f>_xlfn.XLOOKUP(tblOrders[[#This Row],[RestaurantID]],Restaurants!A4:A18,Restaurants!B4:B18,"Unknown")</f>
        <v>Pasta Point</v>
      </c>
      <c r="K4" t="str">
        <f>_xlfn.XLOOKUP(tblOrders[[#This Row],[RestaurantID]],Restaurants!A4:A18,Restaurants!C4:C18,"Unknown")</f>
        <v>Italian</v>
      </c>
    </row>
    <row r="5" spans="1:11" x14ac:dyDescent="0.3">
      <c r="A5">
        <v>1004</v>
      </c>
      <c r="B5" t="s">
        <v>19</v>
      </c>
      <c r="C5" t="s">
        <v>20</v>
      </c>
      <c r="D5" t="s">
        <v>21</v>
      </c>
      <c r="E5" s="1">
        <v>46207</v>
      </c>
      <c r="F5">
        <v>43</v>
      </c>
      <c r="G5">
        <v>4.4000000000000004</v>
      </c>
      <c r="H5">
        <v>649</v>
      </c>
      <c r="I5" t="s">
        <v>12</v>
      </c>
      <c r="J5" t="str">
        <f>_xlfn.XLOOKUP(tblOrders[[#This Row],[RestaurantID]],Restaurants!A5:A19,Restaurants!B5:B19,"Unknown")</f>
        <v>Taco Town</v>
      </c>
      <c r="K5" t="str">
        <f>_xlfn.XLOOKUP(tblOrders[[#This Row],[RestaurantID]],Restaurants!A5:A19,Restaurants!C5:C19,"Unknown")</f>
        <v>Mexican</v>
      </c>
    </row>
    <row r="6" spans="1:11" x14ac:dyDescent="0.3">
      <c r="A6">
        <v>1005</v>
      </c>
      <c r="B6" t="s">
        <v>22</v>
      </c>
      <c r="C6" t="s">
        <v>10</v>
      </c>
      <c r="D6" t="s">
        <v>23</v>
      </c>
      <c r="E6" s="1">
        <v>46208</v>
      </c>
      <c r="F6">
        <v>50</v>
      </c>
      <c r="G6">
        <v>4.7</v>
      </c>
      <c r="H6">
        <v>732</v>
      </c>
      <c r="I6" t="s">
        <v>24</v>
      </c>
      <c r="J6" t="str">
        <f>_xlfn.XLOOKUP(tblOrders[[#This Row],[RestaurantID]],Restaurants!A6:A20,Restaurants!B6:B20,"Unknown")</f>
        <v>Curry Corner</v>
      </c>
      <c r="K6" t="str">
        <f>_xlfn.XLOOKUP(tblOrders[[#This Row],[RestaurantID]],Restaurants!A6:A20,Restaurants!C6:C20,"Unknown")</f>
        <v>Indian</v>
      </c>
    </row>
    <row r="7" spans="1:11" x14ac:dyDescent="0.3">
      <c r="A7">
        <v>1006</v>
      </c>
      <c r="B7" t="s">
        <v>25</v>
      </c>
      <c r="C7" t="s">
        <v>14</v>
      </c>
      <c r="D7" t="s">
        <v>11</v>
      </c>
      <c r="E7" s="1">
        <v>46209</v>
      </c>
      <c r="F7">
        <v>57</v>
      </c>
      <c r="G7">
        <v>5</v>
      </c>
      <c r="H7">
        <v>815</v>
      </c>
      <c r="I7" t="s">
        <v>26</v>
      </c>
      <c r="J7" t="str">
        <f>_xlfn.XLOOKUP(tblOrders[[#This Row],[RestaurantID]],Restaurants!A7:A21,Restaurants!B7:B21,"Unknown")</f>
        <v>Wok Express</v>
      </c>
      <c r="K7" t="str">
        <f>_xlfn.XLOOKUP(tblOrders[[#This Row],[RestaurantID]],Restaurants!A7:A21,Restaurants!C7:C21,"Unknown")</f>
        <v>Chinese</v>
      </c>
    </row>
    <row r="8" spans="1:11" x14ac:dyDescent="0.3">
      <c r="A8">
        <v>1007</v>
      </c>
      <c r="B8" t="s">
        <v>27</v>
      </c>
      <c r="C8" t="s">
        <v>17</v>
      </c>
      <c r="D8" t="s">
        <v>15</v>
      </c>
      <c r="E8" s="1">
        <v>46210</v>
      </c>
      <c r="F8">
        <v>25</v>
      </c>
      <c r="G8">
        <v>3.7</v>
      </c>
      <c r="H8">
        <v>898</v>
      </c>
      <c r="I8" t="s">
        <v>12</v>
      </c>
      <c r="J8" t="str">
        <f>_xlfn.XLOOKUP(tblOrders[[#This Row],[RestaurantID]],Restaurants!A8:A22,Restaurants!B8:B22,"Unknown")</f>
        <v>Pizza Palace</v>
      </c>
      <c r="K8" t="str">
        <f>_xlfn.XLOOKUP(tblOrders[[#This Row],[RestaurantID]],Restaurants!A8:A22,Restaurants!C8:C22,"Unknown")</f>
        <v>Italian</v>
      </c>
    </row>
    <row r="9" spans="1:11" x14ac:dyDescent="0.3">
      <c r="A9">
        <v>1008</v>
      </c>
      <c r="B9" t="s">
        <v>28</v>
      </c>
      <c r="C9" t="s">
        <v>20</v>
      </c>
      <c r="D9" t="s">
        <v>18</v>
      </c>
      <c r="E9" s="1">
        <v>46211</v>
      </c>
      <c r="F9">
        <v>32</v>
      </c>
      <c r="G9">
        <v>4</v>
      </c>
      <c r="H9">
        <v>981</v>
      </c>
      <c r="I9" t="s">
        <v>12</v>
      </c>
      <c r="J9" t="str">
        <f>_xlfn.XLOOKUP(tblOrders[[#This Row],[RestaurantID]],Restaurants!A9:A23,Restaurants!B9:B23,"Unknown")</f>
        <v>Mexican Grill</v>
      </c>
      <c r="K9" t="str">
        <f>_xlfn.XLOOKUP(tblOrders[[#This Row],[RestaurantID]],Restaurants!A9:A23,Restaurants!C9:C23,"Unknown")</f>
        <v>Mexican</v>
      </c>
    </row>
    <row r="10" spans="1:11" x14ac:dyDescent="0.3">
      <c r="A10">
        <v>1009</v>
      </c>
      <c r="B10" t="s">
        <v>29</v>
      </c>
      <c r="C10" t="s">
        <v>10</v>
      </c>
      <c r="D10" t="s">
        <v>21</v>
      </c>
      <c r="E10" s="1">
        <v>46212</v>
      </c>
      <c r="F10">
        <v>39</v>
      </c>
      <c r="G10">
        <v>4.3</v>
      </c>
      <c r="H10">
        <v>463</v>
      </c>
      <c r="I10" t="s">
        <v>12</v>
      </c>
      <c r="J10" t="str">
        <f>_xlfn.XLOOKUP(tblOrders[[#This Row],[RestaurantID]],Restaurants!A10:A24,Restaurants!B10:B24,"Unknown")</f>
        <v>Punjabi Rasoi</v>
      </c>
      <c r="K10" t="str">
        <f>_xlfn.XLOOKUP(tblOrders[[#This Row],[RestaurantID]],Restaurants!A10:A24,Restaurants!C10:C24,"Unknown")</f>
        <v>Indian</v>
      </c>
    </row>
    <row r="11" spans="1:11" x14ac:dyDescent="0.3">
      <c r="A11">
        <v>1010</v>
      </c>
      <c r="B11" t="s">
        <v>30</v>
      </c>
      <c r="C11" t="s">
        <v>14</v>
      </c>
      <c r="D11" t="s">
        <v>23</v>
      </c>
      <c r="E11" s="1">
        <v>46213</v>
      </c>
      <c r="F11">
        <v>46</v>
      </c>
      <c r="G11">
        <v>4.5999999999999996</v>
      </c>
      <c r="H11">
        <v>546</v>
      </c>
      <c r="I11" t="s">
        <v>12</v>
      </c>
      <c r="J11" t="str">
        <f>_xlfn.XLOOKUP(tblOrders[[#This Row],[RestaurantID]],Restaurants!A11:A25,Restaurants!B11:B25,"Unknown")</f>
        <v>China Bowl</v>
      </c>
      <c r="K11" t="str">
        <f>_xlfn.XLOOKUP(tblOrders[[#This Row],[RestaurantID]],Restaurants!A11:A25,Restaurants!C11:C25,"Unknown")</f>
        <v>Chinese</v>
      </c>
    </row>
    <row r="12" spans="1:11" x14ac:dyDescent="0.3">
      <c r="A12">
        <v>1011</v>
      </c>
      <c r="B12" t="s">
        <v>31</v>
      </c>
      <c r="C12" t="s">
        <v>17</v>
      </c>
      <c r="D12" t="s">
        <v>11</v>
      </c>
      <c r="E12" s="1">
        <v>46214</v>
      </c>
      <c r="F12">
        <v>53</v>
      </c>
      <c r="G12">
        <v>4.9000000000000004</v>
      </c>
      <c r="H12">
        <v>629</v>
      </c>
      <c r="I12" t="s">
        <v>24</v>
      </c>
      <c r="J12" t="str">
        <f>_xlfn.XLOOKUP(tblOrders[[#This Row],[RestaurantID]],Restaurants!A12:A26,Restaurants!B12:B26,"Unknown")</f>
        <v>Italian Kitchen</v>
      </c>
      <c r="K12" t="str">
        <f>_xlfn.XLOOKUP(tblOrders[[#This Row],[RestaurantID]],Restaurants!A12:A26,Restaurants!C12:C26,"Unknown")</f>
        <v>Italian</v>
      </c>
    </row>
    <row r="13" spans="1:11" x14ac:dyDescent="0.3">
      <c r="A13">
        <v>1012</v>
      </c>
      <c r="B13" t="s">
        <v>32</v>
      </c>
      <c r="C13" t="s">
        <v>20</v>
      </c>
      <c r="D13" t="s">
        <v>15</v>
      </c>
      <c r="E13" s="1">
        <v>46215</v>
      </c>
      <c r="F13">
        <v>60</v>
      </c>
      <c r="G13">
        <v>3.6</v>
      </c>
      <c r="H13">
        <v>712</v>
      </c>
      <c r="I13" t="s">
        <v>26</v>
      </c>
      <c r="J13" t="str">
        <f>_xlfn.XLOOKUP(tblOrders[[#This Row],[RestaurantID]],Restaurants!A13:A27,Restaurants!B13:B27,"Unknown")</f>
        <v>Taco Fiesta</v>
      </c>
      <c r="K13" t="str">
        <f>_xlfn.XLOOKUP(tblOrders[[#This Row],[RestaurantID]],Restaurants!A13:A27,Restaurants!C13:C27,"Unknown")</f>
        <v>Mexican</v>
      </c>
    </row>
    <row r="14" spans="1:11" x14ac:dyDescent="0.3">
      <c r="A14">
        <v>1013</v>
      </c>
      <c r="B14" t="s">
        <v>33</v>
      </c>
      <c r="C14" t="s">
        <v>10</v>
      </c>
      <c r="D14" t="s">
        <v>18</v>
      </c>
      <c r="E14" s="1">
        <v>46216</v>
      </c>
      <c r="F14">
        <v>28</v>
      </c>
      <c r="G14">
        <v>3.9</v>
      </c>
      <c r="H14">
        <v>795</v>
      </c>
      <c r="I14" t="s">
        <v>12</v>
      </c>
      <c r="J14" t="str">
        <f>_xlfn.XLOOKUP(tblOrders[[#This Row],[RestaurantID]],Restaurants!A14:A28,Restaurants!B14:B28,"Unknown")</f>
        <v>Food Junction</v>
      </c>
      <c r="K14" t="str">
        <f>_xlfn.XLOOKUP(tblOrders[[#This Row],[RestaurantID]],Restaurants!A14:A28,Restaurants!C14:C28,"Unknown")</f>
        <v>Indian</v>
      </c>
    </row>
    <row r="15" spans="1:11" x14ac:dyDescent="0.3">
      <c r="A15">
        <v>1014</v>
      </c>
      <c r="B15" t="s">
        <v>34</v>
      </c>
      <c r="C15" t="s">
        <v>14</v>
      </c>
      <c r="D15" t="s">
        <v>21</v>
      </c>
      <c r="E15" s="1">
        <v>46217</v>
      </c>
      <c r="F15">
        <v>35</v>
      </c>
      <c r="G15">
        <v>4.2</v>
      </c>
      <c r="H15">
        <v>878</v>
      </c>
      <c r="I15" t="s">
        <v>12</v>
      </c>
      <c r="J15" t="str">
        <f>_xlfn.XLOOKUP(tblOrders[[#This Row],[RestaurantID]],Restaurants!A15:A29,Restaurants!B15:B29,"Unknown")</f>
        <v>Noodle House</v>
      </c>
      <c r="K15" t="str">
        <f>_xlfn.XLOOKUP(tblOrders[[#This Row],[RestaurantID]],Restaurants!A15:A29,Restaurants!C15:C29,"Unknown")</f>
        <v>Chinese</v>
      </c>
    </row>
    <row r="16" spans="1:11" x14ac:dyDescent="0.3">
      <c r="A16">
        <v>1015</v>
      </c>
      <c r="B16" t="s">
        <v>35</v>
      </c>
      <c r="C16" t="s">
        <v>17</v>
      </c>
      <c r="D16" t="s">
        <v>23</v>
      </c>
      <c r="E16" s="1">
        <v>46218</v>
      </c>
      <c r="F16">
        <v>42</v>
      </c>
      <c r="G16">
        <v>4.5</v>
      </c>
      <c r="H16">
        <v>961</v>
      </c>
      <c r="I16" t="s">
        <v>12</v>
      </c>
      <c r="J16" t="str">
        <f>_xlfn.XLOOKUP(tblOrders[[#This Row],[RestaurantID]],Restaurants!A16:A30,Restaurants!B16:B30,"Unknown")</f>
        <v>Pizza Corner</v>
      </c>
      <c r="K16" t="str">
        <f>_xlfn.XLOOKUP(tblOrders[[#This Row],[RestaurantID]],Restaurants!A16:A30,Restaurants!C16:C30,"Unknown")</f>
        <v>Italian</v>
      </c>
    </row>
    <row r="17" spans="1:11" x14ac:dyDescent="0.3">
      <c r="A17">
        <v>1016</v>
      </c>
      <c r="B17" t="s">
        <v>9</v>
      </c>
      <c r="C17" t="s">
        <v>10</v>
      </c>
      <c r="D17" t="s">
        <v>11</v>
      </c>
      <c r="E17" s="1">
        <v>46219</v>
      </c>
      <c r="F17">
        <v>49</v>
      </c>
      <c r="G17">
        <v>4.8</v>
      </c>
      <c r="H17">
        <v>443</v>
      </c>
      <c r="I17" t="s">
        <v>12</v>
      </c>
      <c r="J17" t="str">
        <f>_xlfn.XLOOKUP(tblOrders[[#This Row],[RestaurantID]],Restaurants!A17:A31,Restaurants!B17:B31,"Unknown")</f>
        <v>Unknown</v>
      </c>
      <c r="K17" t="str">
        <f>_xlfn.XLOOKUP(tblOrders[[#This Row],[RestaurantID]],Restaurants!A17:A31,Restaurants!C17:C31,"Unknown")</f>
        <v>Unknown</v>
      </c>
    </row>
    <row r="18" spans="1:11" x14ac:dyDescent="0.3">
      <c r="A18">
        <v>1017</v>
      </c>
      <c r="B18" t="s">
        <v>13</v>
      </c>
      <c r="C18" t="s">
        <v>14</v>
      </c>
      <c r="D18" t="s">
        <v>15</v>
      </c>
      <c r="E18" s="1">
        <v>46220</v>
      </c>
      <c r="F18">
        <v>56</v>
      </c>
      <c r="G18">
        <v>3.5</v>
      </c>
      <c r="H18">
        <v>526</v>
      </c>
      <c r="I18" t="s">
        <v>24</v>
      </c>
      <c r="J18" t="str">
        <f>_xlfn.XLOOKUP(tblOrders[[#This Row],[RestaurantID]],Restaurants!A18:A32,Restaurants!B18:B32,"Unknown")</f>
        <v>Unknown</v>
      </c>
      <c r="K18" t="str">
        <f>_xlfn.XLOOKUP(tblOrders[[#This Row],[RestaurantID]],Restaurants!A18:A32,Restaurants!C18:C32,"Unknown")</f>
        <v>Unknown</v>
      </c>
    </row>
    <row r="19" spans="1:11" x14ac:dyDescent="0.3">
      <c r="A19">
        <v>1018</v>
      </c>
      <c r="B19" t="s">
        <v>16</v>
      </c>
      <c r="C19" t="s">
        <v>17</v>
      </c>
      <c r="D19" t="s">
        <v>18</v>
      </c>
      <c r="E19" s="1">
        <v>46221</v>
      </c>
      <c r="F19">
        <v>24</v>
      </c>
      <c r="G19">
        <v>3.8</v>
      </c>
      <c r="H19">
        <v>609</v>
      </c>
      <c r="I19" t="s">
        <v>26</v>
      </c>
      <c r="J19" t="str">
        <f>_xlfn.XLOOKUP(tblOrders[[#This Row],[RestaurantID]],Restaurants!A19:A33,Restaurants!B19:B33,"Unknown")</f>
        <v>Unknown</v>
      </c>
      <c r="K19" t="str">
        <f>_xlfn.XLOOKUP(tblOrders[[#This Row],[RestaurantID]],Restaurants!A19:A33,Restaurants!C19:C33,"Unknown")</f>
        <v>Unknown</v>
      </c>
    </row>
    <row r="20" spans="1:11" x14ac:dyDescent="0.3">
      <c r="A20">
        <v>1019</v>
      </c>
      <c r="B20" t="s">
        <v>19</v>
      </c>
      <c r="C20" t="s">
        <v>20</v>
      </c>
      <c r="D20" t="s">
        <v>21</v>
      </c>
      <c r="E20" s="1">
        <v>46222</v>
      </c>
      <c r="F20">
        <v>65</v>
      </c>
      <c r="G20">
        <v>4.0999999999999996</v>
      </c>
      <c r="H20">
        <v>692</v>
      </c>
      <c r="I20" t="s">
        <v>12</v>
      </c>
      <c r="J20" t="str">
        <f>_xlfn.XLOOKUP(tblOrders[[#This Row],[RestaurantID]],Restaurants!A20:A34,Restaurants!B20:B34,"Unknown")</f>
        <v>Unknown</v>
      </c>
      <c r="K20" t="str">
        <f>_xlfn.XLOOKUP(tblOrders[[#This Row],[RestaurantID]],Restaurants!A20:A34,Restaurants!C20:C34,"Unknown")</f>
        <v>Unknown</v>
      </c>
    </row>
    <row r="21" spans="1:11" x14ac:dyDescent="0.3">
      <c r="A21">
        <v>1020</v>
      </c>
      <c r="B21" t="s">
        <v>22</v>
      </c>
      <c r="C21" t="s">
        <v>10</v>
      </c>
      <c r="D21" t="s">
        <v>23</v>
      </c>
      <c r="E21" s="1">
        <v>46223</v>
      </c>
      <c r="F21">
        <v>38</v>
      </c>
      <c r="G21">
        <v>4.4000000000000004</v>
      </c>
      <c r="H21">
        <v>775</v>
      </c>
      <c r="I21" t="s">
        <v>12</v>
      </c>
      <c r="J21" t="str">
        <f>_xlfn.XLOOKUP(tblOrders[[#This Row],[RestaurantID]],Restaurants!A21:A35,Restaurants!B21:B35,"Unknown")</f>
        <v>Unknown</v>
      </c>
      <c r="K21" t="str">
        <f>_xlfn.XLOOKUP(tblOrders[[#This Row],[RestaurantID]],Restaurants!A21:A35,Restaurants!C21:C35,"Unknown")</f>
        <v>Unknown</v>
      </c>
    </row>
    <row r="22" spans="1:11" x14ac:dyDescent="0.3">
      <c r="A22">
        <v>1021</v>
      </c>
      <c r="B22" t="s">
        <v>25</v>
      </c>
      <c r="C22" t="s">
        <v>14</v>
      </c>
      <c r="D22" t="s">
        <v>11</v>
      </c>
      <c r="E22" s="1">
        <v>46224</v>
      </c>
      <c r="F22">
        <v>45</v>
      </c>
      <c r="G22">
        <v>4.7</v>
      </c>
      <c r="H22">
        <v>858</v>
      </c>
      <c r="I22" t="s">
        <v>12</v>
      </c>
      <c r="J22" t="str">
        <f>_xlfn.XLOOKUP(tblOrders[[#This Row],[RestaurantID]],Restaurants!A22:A36,Restaurants!B22:B36,"Unknown")</f>
        <v>Unknown</v>
      </c>
      <c r="K22" t="str">
        <f>_xlfn.XLOOKUP(tblOrders[[#This Row],[RestaurantID]],Restaurants!A22:A36,Restaurants!C22:C36,"Unknown")</f>
        <v>Unknown</v>
      </c>
    </row>
    <row r="23" spans="1:11" x14ac:dyDescent="0.3">
      <c r="A23">
        <v>1022</v>
      </c>
      <c r="B23" t="s">
        <v>27</v>
      </c>
      <c r="C23" t="s">
        <v>17</v>
      </c>
      <c r="D23" t="s">
        <v>15</v>
      </c>
      <c r="E23" s="1">
        <v>46225</v>
      </c>
      <c r="F23">
        <v>52</v>
      </c>
      <c r="G23">
        <v>5</v>
      </c>
      <c r="H23">
        <v>941</v>
      </c>
      <c r="I23" t="s">
        <v>12</v>
      </c>
      <c r="J23" t="str">
        <f>_xlfn.XLOOKUP(tblOrders[[#This Row],[RestaurantID]],Restaurants!A23:A37,Restaurants!B23:B37,"Unknown")</f>
        <v>Unknown</v>
      </c>
      <c r="K23" t="str">
        <f>_xlfn.XLOOKUP(tblOrders[[#This Row],[RestaurantID]],Restaurants!A23:A37,Restaurants!C23:C37,"Unknown")</f>
        <v>Unknown</v>
      </c>
    </row>
    <row r="24" spans="1:11" x14ac:dyDescent="0.3">
      <c r="A24">
        <v>1023</v>
      </c>
      <c r="B24" t="s">
        <v>28</v>
      </c>
      <c r="C24" t="s">
        <v>20</v>
      </c>
      <c r="D24" t="s">
        <v>18</v>
      </c>
      <c r="E24" s="1">
        <v>46226</v>
      </c>
      <c r="F24">
        <v>59</v>
      </c>
      <c r="G24">
        <v>3.7</v>
      </c>
      <c r="H24">
        <v>423</v>
      </c>
      <c r="I24" t="s">
        <v>24</v>
      </c>
      <c r="J24" t="str">
        <f>_xlfn.XLOOKUP(tblOrders[[#This Row],[RestaurantID]],Restaurants!A24:A38,Restaurants!B24:B38,"Unknown")</f>
        <v>Unknown</v>
      </c>
      <c r="K24" t="str">
        <f>_xlfn.XLOOKUP(tblOrders[[#This Row],[RestaurantID]],Restaurants!A24:A38,Restaurants!C24:C38,"Unknown")</f>
        <v>Unknown</v>
      </c>
    </row>
    <row r="25" spans="1:11" x14ac:dyDescent="0.3">
      <c r="A25">
        <v>1024</v>
      </c>
      <c r="B25" t="s">
        <v>29</v>
      </c>
      <c r="C25" t="s">
        <v>10</v>
      </c>
      <c r="D25" t="s">
        <v>21</v>
      </c>
      <c r="E25" s="1">
        <v>46227</v>
      </c>
      <c r="F25">
        <v>27</v>
      </c>
      <c r="G25">
        <v>4</v>
      </c>
      <c r="H25">
        <v>506</v>
      </c>
      <c r="I25" t="s">
        <v>26</v>
      </c>
      <c r="J25" t="str">
        <f>_xlfn.XLOOKUP(tblOrders[[#This Row],[RestaurantID]],Restaurants!A25:A39,Restaurants!B25:B39,"Unknown")</f>
        <v>Unknown</v>
      </c>
      <c r="K25" t="str">
        <f>_xlfn.XLOOKUP(tblOrders[[#This Row],[RestaurantID]],Restaurants!A25:A39,Restaurants!C25:C39,"Unknown")</f>
        <v>Unknown</v>
      </c>
    </row>
    <row r="26" spans="1:11" x14ac:dyDescent="0.3">
      <c r="A26">
        <v>1025</v>
      </c>
      <c r="B26" t="s">
        <v>30</v>
      </c>
      <c r="C26" t="s">
        <v>14</v>
      </c>
      <c r="D26" t="s">
        <v>23</v>
      </c>
      <c r="E26" s="1">
        <v>46228</v>
      </c>
      <c r="F26">
        <v>34</v>
      </c>
      <c r="G26">
        <v>4.3</v>
      </c>
      <c r="H26">
        <v>589</v>
      </c>
      <c r="I26" t="s">
        <v>12</v>
      </c>
      <c r="J26" t="str">
        <f>_xlfn.XLOOKUP(tblOrders[[#This Row],[RestaurantID]],Restaurants!A26:A40,Restaurants!B26:B40,"Unknown")</f>
        <v>Unknown</v>
      </c>
      <c r="K26" t="str">
        <f>_xlfn.XLOOKUP(tblOrders[[#This Row],[RestaurantID]],Restaurants!A26:A40,Restaurants!C26:C40,"Unknown")</f>
        <v>Unknown</v>
      </c>
    </row>
    <row r="27" spans="1:11" x14ac:dyDescent="0.3">
      <c r="A27">
        <v>1026</v>
      </c>
      <c r="B27" t="s">
        <v>31</v>
      </c>
      <c r="C27" t="s">
        <v>17</v>
      </c>
      <c r="D27" t="s">
        <v>11</v>
      </c>
      <c r="E27" s="1">
        <v>46229</v>
      </c>
      <c r="F27">
        <v>41</v>
      </c>
      <c r="G27">
        <v>4.5999999999999996</v>
      </c>
      <c r="H27">
        <v>672</v>
      </c>
      <c r="I27" t="s">
        <v>12</v>
      </c>
      <c r="J27" t="str">
        <f>_xlfn.XLOOKUP(tblOrders[[#This Row],[RestaurantID]],Restaurants!A27:A41,Restaurants!B27:B41,"Unknown")</f>
        <v>Unknown</v>
      </c>
      <c r="K27" t="str">
        <f>_xlfn.XLOOKUP(tblOrders[[#This Row],[RestaurantID]],Restaurants!A27:A41,Restaurants!C27:C41,"Unknown")</f>
        <v>Unknown</v>
      </c>
    </row>
    <row r="28" spans="1:11" x14ac:dyDescent="0.3">
      <c r="A28">
        <v>1027</v>
      </c>
      <c r="B28" t="s">
        <v>32</v>
      </c>
      <c r="C28" t="s">
        <v>20</v>
      </c>
      <c r="D28" t="s">
        <v>15</v>
      </c>
      <c r="E28" s="1">
        <v>46230</v>
      </c>
      <c r="F28">
        <v>48</v>
      </c>
      <c r="G28">
        <v>4.9000000000000004</v>
      </c>
      <c r="H28">
        <v>755</v>
      </c>
      <c r="I28" t="s">
        <v>12</v>
      </c>
      <c r="J28" t="str">
        <f>_xlfn.XLOOKUP(tblOrders[[#This Row],[RestaurantID]],Restaurants!A28:A42,Restaurants!B28:B42,"Unknown")</f>
        <v>Unknown</v>
      </c>
      <c r="K28" t="str">
        <f>_xlfn.XLOOKUP(tblOrders[[#This Row],[RestaurantID]],Restaurants!A28:A42,Restaurants!C28:C42,"Unknown")</f>
        <v>Unknown</v>
      </c>
    </row>
    <row r="29" spans="1:11" x14ac:dyDescent="0.3">
      <c r="A29">
        <v>1028</v>
      </c>
      <c r="B29" t="s">
        <v>33</v>
      </c>
      <c r="C29" t="s">
        <v>10</v>
      </c>
      <c r="D29" t="s">
        <v>18</v>
      </c>
      <c r="E29" s="1">
        <v>46231</v>
      </c>
      <c r="F29">
        <v>55</v>
      </c>
      <c r="G29">
        <v>3.6</v>
      </c>
      <c r="H29">
        <v>838</v>
      </c>
      <c r="I29" t="s">
        <v>12</v>
      </c>
      <c r="J29" t="str">
        <f>_xlfn.XLOOKUP(tblOrders[[#This Row],[RestaurantID]],Restaurants!A29:A43,Restaurants!B29:B43,"Unknown")</f>
        <v>Unknown</v>
      </c>
      <c r="K29" t="str">
        <f>_xlfn.XLOOKUP(tblOrders[[#This Row],[RestaurantID]],Restaurants!A29:A43,Restaurants!C29:C43,"Unknown")</f>
        <v>Unknown</v>
      </c>
    </row>
    <row r="30" spans="1:11" x14ac:dyDescent="0.3">
      <c r="A30">
        <v>1029</v>
      </c>
      <c r="B30" t="s">
        <v>34</v>
      </c>
      <c r="C30" t="s">
        <v>14</v>
      </c>
      <c r="D30" t="s">
        <v>21</v>
      </c>
      <c r="E30" s="1">
        <v>46232</v>
      </c>
      <c r="F30">
        <v>23</v>
      </c>
      <c r="G30">
        <v>3.9</v>
      </c>
      <c r="H30">
        <v>921</v>
      </c>
      <c r="I30" t="s">
        <v>24</v>
      </c>
      <c r="J30" t="str">
        <f>_xlfn.XLOOKUP(tblOrders[[#This Row],[RestaurantID]],Restaurants!A30:A44,Restaurants!B30:B44,"Unknown")</f>
        <v>Unknown</v>
      </c>
      <c r="K30" t="str">
        <f>_xlfn.XLOOKUP(tblOrders[[#This Row],[RestaurantID]],Restaurants!A30:A44,Restaurants!C30:C44,"Unknown")</f>
        <v>Unknown</v>
      </c>
    </row>
    <row r="31" spans="1:11" x14ac:dyDescent="0.3">
      <c r="A31">
        <v>1030</v>
      </c>
      <c r="B31" t="s">
        <v>35</v>
      </c>
      <c r="C31" t="s">
        <v>17</v>
      </c>
      <c r="D31" t="s">
        <v>23</v>
      </c>
      <c r="E31" s="1">
        <v>46233</v>
      </c>
      <c r="F31">
        <v>30</v>
      </c>
      <c r="G31">
        <v>4.2</v>
      </c>
      <c r="H31">
        <v>403</v>
      </c>
      <c r="I31" t="s">
        <v>26</v>
      </c>
      <c r="J31" t="str">
        <f>_xlfn.XLOOKUP(tblOrders[[#This Row],[RestaurantID]],Restaurants!A31:A45,Restaurants!B31:B45,"Unknown")</f>
        <v>Unknown</v>
      </c>
      <c r="K31" t="str">
        <f>_xlfn.XLOOKUP(tblOrders[[#This Row],[RestaurantID]],Restaurants!A31:A45,Restaurants!C31:C45,"Unknown")</f>
        <v>Unknown</v>
      </c>
    </row>
    <row r="32" spans="1:11" x14ac:dyDescent="0.3">
      <c r="A32">
        <v>1031</v>
      </c>
      <c r="B32" t="s">
        <v>9</v>
      </c>
      <c r="C32" t="s">
        <v>10</v>
      </c>
      <c r="D32" t="s">
        <v>11</v>
      </c>
      <c r="E32" s="1">
        <v>46234</v>
      </c>
      <c r="F32">
        <v>37</v>
      </c>
      <c r="G32">
        <v>4.5</v>
      </c>
      <c r="H32">
        <v>486</v>
      </c>
      <c r="I32" t="s">
        <v>12</v>
      </c>
      <c r="J32" t="str">
        <f>_xlfn.XLOOKUP(tblOrders[[#This Row],[RestaurantID]],Restaurants!A32:A46,Restaurants!B32:B46,"Unknown")</f>
        <v>Unknown</v>
      </c>
      <c r="K32" t="str">
        <f>_xlfn.XLOOKUP(tblOrders[[#This Row],[RestaurantID]],Restaurants!A32:A46,Restaurants!C32:C46,"Unknown")</f>
        <v>Unknown</v>
      </c>
    </row>
    <row r="33" spans="1:11" x14ac:dyDescent="0.3">
      <c r="A33">
        <v>1032</v>
      </c>
      <c r="B33" t="s">
        <v>13</v>
      </c>
      <c r="C33" t="s">
        <v>14</v>
      </c>
      <c r="D33" t="s">
        <v>15</v>
      </c>
      <c r="E33" s="1">
        <v>46235</v>
      </c>
      <c r="F33">
        <v>44</v>
      </c>
      <c r="G33">
        <v>4.8</v>
      </c>
      <c r="H33">
        <v>569</v>
      </c>
      <c r="I33" t="s">
        <v>12</v>
      </c>
      <c r="J33" t="str">
        <f>_xlfn.XLOOKUP(tblOrders[[#This Row],[RestaurantID]],Restaurants!A33:A47,Restaurants!B33:B47,"Unknown")</f>
        <v>Unknown</v>
      </c>
      <c r="K33" t="str">
        <f>_xlfn.XLOOKUP(tblOrders[[#This Row],[RestaurantID]],Restaurants!A33:A47,Restaurants!C33:C47,"Unknown")</f>
        <v>Unknown</v>
      </c>
    </row>
    <row r="34" spans="1:11" x14ac:dyDescent="0.3">
      <c r="A34">
        <v>1033</v>
      </c>
      <c r="B34" t="s">
        <v>16</v>
      </c>
      <c r="C34" t="s">
        <v>17</v>
      </c>
      <c r="D34" t="s">
        <v>18</v>
      </c>
      <c r="E34" s="1">
        <v>46236</v>
      </c>
      <c r="F34">
        <v>51</v>
      </c>
      <c r="G34">
        <v>3.5</v>
      </c>
      <c r="H34">
        <v>652</v>
      </c>
      <c r="I34" t="s">
        <v>12</v>
      </c>
      <c r="J34" t="str">
        <f>_xlfn.XLOOKUP(tblOrders[[#This Row],[RestaurantID]],Restaurants!A34:A48,Restaurants!B34:B48,"Unknown")</f>
        <v>Unknown</v>
      </c>
      <c r="K34" t="str">
        <f>_xlfn.XLOOKUP(tblOrders[[#This Row],[RestaurantID]],Restaurants!A34:A48,Restaurants!C34:C48,"Unknown")</f>
        <v>Unknown</v>
      </c>
    </row>
    <row r="35" spans="1:11" x14ac:dyDescent="0.3">
      <c r="A35">
        <v>1034</v>
      </c>
      <c r="B35" t="s">
        <v>19</v>
      </c>
      <c r="C35" t="s">
        <v>20</v>
      </c>
      <c r="D35" t="s">
        <v>21</v>
      </c>
      <c r="E35" s="1">
        <v>46237</v>
      </c>
      <c r="F35">
        <v>58</v>
      </c>
      <c r="G35">
        <v>3.8</v>
      </c>
      <c r="H35">
        <v>735</v>
      </c>
      <c r="I35" t="s">
        <v>12</v>
      </c>
      <c r="J35" t="str">
        <f>_xlfn.XLOOKUP(tblOrders[[#This Row],[RestaurantID]],Restaurants!A35:A49,Restaurants!B35:B49,"Unknown")</f>
        <v>Unknown</v>
      </c>
      <c r="K35" t="str">
        <f>_xlfn.XLOOKUP(tblOrders[[#This Row],[RestaurantID]],Restaurants!A35:A49,Restaurants!C35:C49,"Unknown")</f>
        <v>Unknown</v>
      </c>
    </row>
    <row r="36" spans="1:11" x14ac:dyDescent="0.3">
      <c r="A36">
        <v>1035</v>
      </c>
      <c r="B36" t="s">
        <v>22</v>
      </c>
      <c r="C36" t="s">
        <v>10</v>
      </c>
      <c r="D36" t="s">
        <v>23</v>
      </c>
      <c r="E36" s="1">
        <v>46238</v>
      </c>
      <c r="F36">
        <v>26</v>
      </c>
      <c r="G36">
        <v>4.0999999999999996</v>
      </c>
      <c r="H36">
        <v>818</v>
      </c>
      <c r="I36" t="s">
        <v>24</v>
      </c>
      <c r="J36" t="str">
        <f>_xlfn.XLOOKUP(tblOrders[[#This Row],[RestaurantID]],Restaurants!A36:A50,Restaurants!B36:B50,"Unknown")</f>
        <v>Unknown</v>
      </c>
      <c r="K36" t="str">
        <f>_xlfn.XLOOKUP(tblOrders[[#This Row],[RestaurantID]],Restaurants!A36:A50,Restaurants!C36:C50,"Unknown")</f>
        <v>Unknown</v>
      </c>
    </row>
    <row r="37" spans="1:11" x14ac:dyDescent="0.3">
      <c r="A37">
        <v>1036</v>
      </c>
      <c r="B37" t="s">
        <v>25</v>
      </c>
      <c r="C37" t="s">
        <v>14</v>
      </c>
      <c r="D37" t="s">
        <v>11</v>
      </c>
      <c r="E37" s="1">
        <v>46239</v>
      </c>
      <c r="F37">
        <v>33</v>
      </c>
      <c r="G37">
        <v>4.4000000000000004</v>
      </c>
      <c r="H37">
        <v>901</v>
      </c>
      <c r="I37" t="s">
        <v>26</v>
      </c>
      <c r="J37" t="str">
        <f>_xlfn.XLOOKUP(tblOrders[[#This Row],[RestaurantID]],Restaurants!A37:A51,Restaurants!B37:B51,"Unknown")</f>
        <v>Unknown</v>
      </c>
      <c r="K37" t="str">
        <f>_xlfn.XLOOKUP(tblOrders[[#This Row],[RestaurantID]],Restaurants!A37:A51,Restaurants!C37:C51,"Unknown")</f>
        <v>Unknown</v>
      </c>
    </row>
    <row r="38" spans="1:11" x14ac:dyDescent="0.3">
      <c r="A38">
        <v>1037</v>
      </c>
      <c r="B38" t="s">
        <v>27</v>
      </c>
      <c r="C38" t="s">
        <v>17</v>
      </c>
      <c r="D38" t="s">
        <v>15</v>
      </c>
      <c r="E38" s="1">
        <v>46240</v>
      </c>
      <c r="F38">
        <v>40</v>
      </c>
      <c r="G38">
        <v>4.7</v>
      </c>
      <c r="H38">
        <v>984</v>
      </c>
      <c r="I38" t="s">
        <v>12</v>
      </c>
      <c r="J38" t="str">
        <f>_xlfn.XLOOKUP(tblOrders[[#This Row],[RestaurantID]],Restaurants!A38:A52,Restaurants!B38:B52,"Unknown")</f>
        <v>Unknown</v>
      </c>
      <c r="K38" t="str">
        <f>_xlfn.XLOOKUP(tblOrders[[#This Row],[RestaurantID]],Restaurants!A38:A52,Restaurants!C38:C52,"Unknown")</f>
        <v>Unknown</v>
      </c>
    </row>
    <row r="39" spans="1:11" x14ac:dyDescent="0.3">
      <c r="A39">
        <v>1038</v>
      </c>
      <c r="B39" t="s">
        <v>28</v>
      </c>
      <c r="C39" t="s">
        <v>20</v>
      </c>
      <c r="D39" t="s">
        <v>18</v>
      </c>
      <c r="E39" s="1">
        <v>46241</v>
      </c>
      <c r="F39">
        <v>47</v>
      </c>
      <c r="G39">
        <v>5</v>
      </c>
      <c r="H39">
        <v>466</v>
      </c>
      <c r="I39" t="s">
        <v>12</v>
      </c>
      <c r="J39" t="str">
        <f>_xlfn.XLOOKUP(tblOrders[[#This Row],[RestaurantID]],Restaurants!A39:A53,Restaurants!B39:B53,"Unknown")</f>
        <v>Unknown</v>
      </c>
      <c r="K39" t="str">
        <f>_xlfn.XLOOKUP(tblOrders[[#This Row],[RestaurantID]],Restaurants!A39:A53,Restaurants!C39:C53,"Unknown")</f>
        <v>Unknown</v>
      </c>
    </row>
    <row r="40" spans="1:11" x14ac:dyDescent="0.3">
      <c r="A40">
        <v>1039</v>
      </c>
      <c r="B40" t="s">
        <v>29</v>
      </c>
      <c r="C40" t="s">
        <v>10</v>
      </c>
      <c r="D40" t="s">
        <v>21</v>
      </c>
      <c r="E40" s="1">
        <v>46242</v>
      </c>
      <c r="F40">
        <v>54</v>
      </c>
      <c r="G40">
        <v>3.7</v>
      </c>
      <c r="H40">
        <v>549</v>
      </c>
      <c r="I40" t="s">
        <v>12</v>
      </c>
      <c r="J40" t="str">
        <f>_xlfn.XLOOKUP(tblOrders[[#This Row],[RestaurantID]],Restaurants!A40:A54,Restaurants!B40:B54,"Unknown")</f>
        <v>Unknown</v>
      </c>
      <c r="K40" t="str">
        <f>_xlfn.XLOOKUP(tblOrders[[#This Row],[RestaurantID]],Restaurants!A40:A54,Restaurants!C40:C54,"Unknown")</f>
        <v>Unknown</v>
      </c>
    </row>
    <row r="41" spans="1:11" x14ac:dyDescent="0.3">
      <c r="A41">
        <v>1040</v>
      </c>
      <c r="B41" t="s">
        <v>30</v>
      </c>
      <c r="C41" t="s">
        <v>14</v>
      </c>
      <c r="D41" t="s">
        <v>23</v>
      </c>
      <c r="E41" s="1">
        <v>46243</v>
      </c>
      <c r="F41">
        <v>22</v>
      </c>
      <c r="G41">
        <v>4</v>
      </c>
      <c r="H41">
        <v>632</v>
      </c>
      <c r="I41" t="s">
        <v>12</v>
      </c>
      <c r="J41" t="str">
        <f>_xlfn.XLOOKUP(tblOrders[[#This Row],[RestaurantID]],Restaurants!A41:A55,Restaurants!B41:B55,"Unknown")</f>
        <v>Unknown</v>
      </c>
      <c r="K41" t="str">
        <f>_xlfn.XLOOKUP(tblOrders[[#This Row],[RestaurantID]],Restaurants!A41:A55,Restaurants!C41:C55,"Unknown")</f>
        <v>Unknown</v>
      </c>
    </row>
    <row r="42" spans="1:11" x14ac:dyDescent="0.3">
      <c r="A42">
        <v>1041</v>
      </c>
      <c r="B42" t="s">
        <v>31</v>
      </c>
      <c r="C42" t="s">
        <v>17</v>
      </c>
      <c r="D42" t="s">
        <v>11</v>
      </c>
      <c r="E42" s="1">
        <v>46244</v>
      </c>
      <c r="F42">
        <v>29</v>
      </c>
      <c r="G42">
        <v>4.3</v>
      </c>
      <c r="H42">
        <v>715</v>
      </c>
      <c r="I42" t="s">
        <v>24</v>
      </c>
      <c r="J42" t="str">
        <f>_xlfn.XLOOKUP(tblOrders[[#This Row],[RestaurantID]],Restaurants!A42:A56,Restaurants!B42:B56,"Unknown")</f>
        <v>Unknown</v>
      </c>
      <c r="K42" t="str">
        <f>_xlfn.XLOOKUP(tblOrders[[#This Row],[RestaurantID]],Restaurants!A42:A56,Restaurants!C42:C56,"Unknown")</f>
        <v>Unknown</v>
      </c>
    </row>
    <row r="43" spans="1:11" x14ac:dyDescent="0.3">
      <c r="A43">
        <v>1042</v>
      </c>
      <c r="B43" t="s">
        <v>32</v>
      </c>
      <c r="C43" t="s">
        <v>20</v>
      </c>
      <c r="D43" t="s">
        <v>15</v>
      </c>
      <c r="E43" s="1">
        <v>46245</v>
      </c>
      <c r="F43">
        <v>36</v>
      </c>
      <c r="G43">
        <v>4.5999999999999996</v>
      </c>
      <c r="H43">
        <v>798</v>
      </c>
      <c r="I43" t="s">
        <v>26</v>
      </c>
      <c r="J43" t="str">
        <f>_xlfn.XLOOKUP(tblOrders[[#This Row],[RestaurantID]],Restaurants!A43:A57,Restaurants!B43:B57,"Unknown")</f>
        <v>Unknown</v>
      </c>
      <c r="K43" t="str">
        <f>_xlfn.XLOOKUP(tblOrders[[#This Row],[RestaurantID]],Restaurants!A43:A57,Restaurants!C43:C57,"Unknown")</f>
        <v>Unknown</v>
      </c>
    </row>
    <row r="44" spans="1:11" x14ac:dyDescent="0.3">
      <c r="A44">
        <v>1043</v>
      </c>
      <c r="B44" t="s">
        <v>33</v>
      </c>
      <c r="C44" t="s">
        <v>10</v>
      </c>
      <c r="D44" t="s">
        <v>18</v>
      </c>
      <c r="E44" s="1">
        <v>46246</v>
      </c>
      <c r="F44">
        <v>43</v>
      </c>
      <c r="G44">
        <v>4.9000000000000004</v>
      </c>
      <c r="H44">
        <v>881</v>
      </c>
      <c r="I44" t="s">
        <v>12</v>
      </c>
      <c r="J44" t="str">
        <f>_xlfn.XLOOKUP(tblOrders[[#This Row],[RestaurantID]],Restaurants!A44:A58,Restaurants!B44:B58,"Unknown")</f>
        <v>Unknown</v>
      </c>
      <c r="K44" t="str">
        <f>_xlfn.XLOOKUP(tblOrders[[#This Row],[RestaurantID]],Restaurants!A44:A58,Restaurants!C44:C58,"Unknown")</f>
        <v>Unknown</v>
      </c>
    </row>
    <row r="45" spans="1:11" x14ac:dyDescent="0.3">
      <c r="A45">
        <v>1044</v>
      </c>
      <c r="B45" t="s">
        <v>34</v>
      </c>
      <c r="C45" t="s">
        <v>14</v>
      </c>
      <c r="D45" t="s">
        <v>21</v>
      </c>
      <c r="E45" s="1">
        <v>46247</v>
      </c>
      <c r="F45">
        <v>50</v>
      </c>
      <c r="G45">
        <v>3.6</v>
      </c>
      <c r="H45">
        <v>964</v>
      </c>
      <c r="I45" t="s">
        <v>12</v>
      </c>
      <c r="J45" t="str">
        <f>_xlfn.XLOOKUP(tblOrders[[#This Row],[RestaurantID]],Restaurants!A45:A59,Restaurants!B45:B59,"Unknown")</f>
        <v>Unknown</v>
      </c>
      <c r="K45" t="str">
        <f>_xlfn.XLOOKUP(tblOrders[[#This Row],[RestaurantID]],Restaurants!A45:A59,Restaurants!C45:C59,"Unknown")</f>
        <v>Unknown</v>
      </c>
    </row>
    <row r="46" spans="1:11" x14ac:dyDescent="0.3">
      <c r="A46">
        <v>1045</v>
      </c>
      <c r="B46" t="s">
        <v>35</v>
      </c>
      <c r="C46" t="s">
        <v>17</v>
      </c>
      <c r="D46" t="s">
        <v>23</v>
      </c>
      <c r="E46" s="1">
        <v>46248</v>
      </c>
      <c r="F46">
        <v>57</v>
      </c>
      <c r="G46">
        <v>3.9</v>
      </c>
      <c r="H46">
        <v>446</v>
      </c>
      <c r="I46" t="s">
        <v>12</v>
      </c>
      <c r="J46" t="str">
        <f>_xlfn.XLOOKUP(tblOrders[[#This Row],[RestaurantID]],Restaurants!A46:A60,Restaurants!B46:B60,"Unknown")</f>
        <v>Unknown</v>
      </c>
      <c r="K46" t="str">
        <f>_xlfn.XLOOKUP(tblOrders[[#This Row],[RestaurantID]],Restaurants!A46:A60,Restaurants!C46:C60,"Unknown")</f>
        <v>Unknown</v>
      </c>
    </row>
    <row r="47" spans="1:11" x14ac:dyDescent="0.3">
      <c r="A47">
        <v>1046</v>
      </c>
      <c r="B47" t="s">
        <v>9</v>
      </c>
      <c r="C47" t="s">
        <v>10</v>
      </c>
      <c r="D47" t="s">
        <v>11</v>
      </c>
      <c r="E47" s="1">
        <v>46249</v>
      </c>
      <c r="F47">
        <v>25</v>
      </c>
      <c r="G47">
        <v>4.2</v>
      </c>
      <c r="H47">
        <v>529</v>
      </c>
      <c r="I47" t="s">
        <v>12</v>
      </c>
      <c r="J47" t="str">
        <f>_xlfn.XLOOKUP(tblOrders[[#This Row],[RestaurantID]],Restaurants!A47:A61,Restaurants!B47:B61,"Unknown")</f>
        <v>Unknown</v>
      </c>
      <c r="K47" t="str">
        <f>_xlfn.XLOOKUP(tblOrders[[#This Row],[RestaurantID]],Restaurants!A47:A61,Restaurants!C47:C61,"Unknown")</f>
        <v>Unknown</v>
      </c>
    </row>
    <row r="48" spans="1:11" x14ac:dyDescent="0.3">
      <c r="A48">
        <v>1047</v>
      </c>
      <c r="B48" t="s">
        <v>13</v>
      </c>
      <c r="C48" t="s">
        <v>14</v>
      </c>
      <c r="D48" t="s">
        <v>15</v>
      </c>
      <c r="E48" s="1">
        <v>46250</v>
      </c>
      <c r="F48">
        <v>32</v>
      </c>
      <c r="G48">
        <v>4.5</v>
      </c>
      <c r="H48">
        <v>612</v>
      </c>
      <c r="I48" t="s">
        <v>24</v>
      </c>
      <c r="J48" t="str">
        <f>_xlfn.XLOOKUP(tblOrders[[#This Row],[RestaurantID]],Restaurants!A48:A62,Restaurants!B48:B62,"Unknown")</f>
        <v>Unknown</v>
      </c>
      <c r="K48" t="str">
        <f>_xlfn.XLOOKUP(tblOrders[[#This Row],[RestaurantID]],Restaurants!A48:A62,Restaurants!C48:C62,"Unknown")</f>
        <v>Unknown</v>
      </c>
    </row>
    <row r="49" spans="1:11" x14ac:dyDescent="0.3">
      <c r="A49">
        <v>1048</v>
      </c>
      <c r="B49" t="s">
        <v>16</v>
      </c>
      <c r="C49" t="s">
        <v>17</v>
      </c>
      <c r="D49" t="s">
        <v>18</v>
      </c>
      <c r="E49" s="1">
        <v>46251</v>
      </c>
      <c r="F49">
        <v>65</v>
      </c>
      <c r="G49">
        <v>4.8</v>
      </c>
      <c r="H49">
        <v>695</v>
      </c>
      <c r="I49" t="s">
        <v>26</v>
      </c>
      <c r="J49" t="str">
        <f>_xlfn.XLOOKUP(tblOrders[[#This Row],[RestaurantID]],Restaurants!A49:A63,Restaurants!B49:B63,"Unknown")</f>
        <v>Unknown</v>
      </c>
      <c r="K49" t="str">
        <f>_xlfn.XLOOKUP(tblOrders[[#This Row],[RestaurantID]],Restaurants!A49:A63,Restaurants!C49:C63,"Unknown")</f>
        <v>Unknown</v>
      </c>
    </row>
    <row r="50" spans="1:11" x14ac:dyDescent="0.3">
      <c r="A50">
        <v>1049</v>
      </c>
      <c r="B50" t="s">
        <v>19</v>
      </c>
      <c r="C50" t="s">
        <v>20</v>
      </c>
      <c r="D50" t="s">
        <v>21</v>
      </c>
      <c r="E50" s="1">
        <v>46252</v>
      </c>
      <c r="F50">
        <v>46</v>
      </c>
      <c r="G50">
        <v>3.5</v>
      </c>
      <c r="H50">
        <v>778</v>
      </c>
      <c r="I50" t="s">
        <v>12</v>
      </c>
      <c r="J50" t="str">
        <f>_xlfn.XLOOKUP(tblOrders[[#This Row],[RestaurantID]],Restaurants!A50:A64,Restaurants!B50:B64,"Unknown")</f>
        <v>Unknown</v>
      </c>
      <c r="K50" t="str">
        <f>_xlfn.XLOOKUP(tblOrders[[#This Row],[RestaurantID]],Restaurants!A50:A64,Restaurants!C50:C64,"Unknown")</f>
        <v>Unknown</v>
      </c>
    </row>
    <row r="51" spans="1:11" x14ac:dyDescent="0.3">
      <c r="A51">
        <v>1050</v>
      </c>
      <c r="B51" t="s">
        <v>22</v>
      </c>
      <c r="C51" t="s">
        <v>10</v>
      </c>
      <c r="D51" t="s">
        <v>23</v>
      </c>
      <c r="E51" s="1">
        <v>46253</v>
      </c>
      <c r="F51">
        <v>53</v>
      </c>
      <c r="G51">
        <v>3.8</v>
      </c>
      <c r="H51">
        <v>861</v>
      </c>
      <c r="I51" t="s">
        <v>12</v>
      </c>
      <c r="J51" t="str">
        <f>_xlfn.XLOOKUP(tblOrders[[#This Row],[RestaurantID]],Restaurants!A51:A65,Restaurants!B51:B65,"Unknown")</f>
        <v>Unknown</v>
      </c>
      <c r="K51" t="str">
        <f>_xlfn.XLOOKUP(tblOrders[[#This Row],[RestaurantID]],Restaurants!A51:A65,Restaurants!C51:C65,"Unknown")</f>
        <v>Unknown</v>
      </c>
    </row>
    <row r="52" spans="1:11" x14ac:dyDescent="0.3">
      <c r="A52">
        <v>1051</v>
      </c>
      <c r="B52" t="s">
        <v>25</v>
      </c>
      <c r="C52" t="s">
        <v>14</v>
      </c>
      <c r="D52" t="s">
        <v>11</v>
      </c>
      <c r="E52" s="1">
        <v>46254</v>
      </c>
      <c r="F52">
        <v>60</v>
      </c>
      <c r="G52">
        <v>4.0999999999999996</v>
      </c>
      <c r="H52">
        <v>944</v>
      </c>
      <c r="I52" t="s">
        <v>12</v>
      </c>
      <c r="J52" t="str">
        <f>_xlfn.XLOOKUP(tblOrders[[#This Row],[RestaurantID]],Restaurants!A52:A66,Restaurants!B52:B66,"Unknown")</f>
        <v>Unknown</v>
      </c>
      <c r="K52" t="str">
        <f>_xlfn.XLOOKUP(tblOrders[[#This Row],[RestaurantID]],Restaurants!A52:A66,Restaurants!C52:C66,"Unknown")</f>
        <v>Unknown</v>
      </c>
    </row>
    <row r="53" spans="1:11" x14ac:dyDescent="0.3">
      <c r="A53">
        <v>1052</v>
      </c>
      <c r="B53" t="s">
        <v>27</v>
      </c>
      <c r="C53" t="s">
        <v>17</v>
      </c>
      <c r="D53" t="s">
        <v>15</v>
      </c>
      <c r="E53" s="1">
        <v>46255</v>
      </c>
      <c r="F53">
        <v>28</v>
      </c>
      <c r="G53">
        <v>4.4000000000000004</v>
      </c>
      <c r="H53">
        <v>426</v>
      </c>
      <c r="I53" t="s">
        <v>12</v>
      </c>
      <c r="J53" t="str">
        <f>_xlfn.XLOOKUP(tblOrders[[#This Row],[RestaurantID]],Restaurants!A53:A67,Restaurants!B53:B67,"Unknown")</f>
        <v>Unknown</v>
      </c>
      <c r="K53" t="str">
        <f>_xlfn.XLOOKUP(tblOrders[[#This Row],[RestaurantID]],Restaurants!A53:A67,Restaurants!C53:C67,"Unknown")</f>
        <v>Unknown</v>
      </c>
    </row>
    <row r="54" spans="1:11" x14ac:dyDescent="0.3">
      <c r="A54">
        <v>1053</v>
      </c>
      <c r="B54" t="s">
        <v>28</v>
      </c>
      <c r="C54" t="s">
        <v>20</v>
      </c>
      <c r="D54" t="s">
        <v>18</v>
      </c>
      <c r="E54" s="1">
        <v>46256</v>
      </c>
      <c r="F54">
        <v>35</v>
      </c>
      <c r="G54">
        <v>4.7</v>
      </c>
      <c r="H54">
        <v>509</v>
      </c>
      <c r="I54" t="s">
        <v>24</v>
      </c>
      <c r="J54" t="str">
        <f>_xlfn.XLOOKUP(tblOrders[[#This Row],[RestaurantID]],Restaurants!A54:A68,Restaurants!B54:B68,"Unknown")</f>
        <v>Unknown</v>
      </c>
      <c r="K54" t="str">
        <f>_xlfn.XLOOKUP(tblOrders[[#This Row],[RestaurantID]],Restaurants!A54:A68,Restaurants!C54:C68,"Unknown")</f>
        <v>Unknown</v>
      </c>
    </row>
    <row r="55" spans="1:11" x14ac:dyDescent="0.3">
      <c r="A55">
        <v>1054</v>
      </c>
      <c r="B55" t="s">
        <v>29</v>
      </c>
      <c r="C55" t="s">
        <v>10</v>
      </c>
      <c r="D55" t="s">
        <v>21</v>
      </c>
      <c r="E55" s="1">
        <v>46257</v>
      </c>
      <c r="F55">
        <v>42</v>
      </c>
      <c r="G55">
        <v>5</v>
      </c>
      <c r="H55">
        <v>592</v>
      </c>
      <c r="I55" t="s">
        <v>26</v>
      </c>
      <c r="J55" t="str">
        <f>_xlfn.XLOOKUP(tblOrders[[#This Row],[RestaurantID]],Restaurants!A55:A69,Restaurants!B55:B69,"Unknown")</f>
        <v>Unknown</v>
      </c>
      <c r="K55" t="str">
        <f>_xlfn.XLOOKUP(tblOrders[[#This Row],[RestaurantID]],Restaurants!A55:A69,Restaurants!C55:C69,"Unknown")</f>
        <v>Unknown</v>
      </c>
    </row>
    <row r="56" spans="1:11" x14ac:dyDescent="0.3">
      <c r="A56">
        <v>1055</v>
      </c>
      <c r="B56" t="s">
        <v>30</v>
      </c>
      <c r="C56" t="s">
        <v>14</v>
      </c>
      <c r="D56" t="s">
        <v>23</v>
      </c>
      <c r="E56" s="1">
        <v>46258</v>
      </c>
      <c r="F56">
        <v>49</v>
      </c>
      <c r="G56">
        <v>3.7</v>
      </c>
      <c r="H56">
        <v>675</v>
      </c>
      <c r="I56" t="s">
        <v>12</v>
      </c>
      <c r="J56" t="str">
        <f>_xlfn.XLOOKUP(tblOrders[[#This Row],[RestaurantID]],Restaurants!A56:A70,Restaurants!B56:B70,"Unknown")</f>
        <v>Unknown</v>
      </c>
      <c r="K56" t="str">
        <f>_xlfn.XLOOKUP(tblOrders[[#This Row],[RestaurantID]],Restaurants!A56:A70,Restaurants!C56:C70,"Unknown")</f>
        <v>Unknown</v>
      </c>
    </row>
    <row r="57" spans="1:11" x14ac:dyDescent="0.3">
      <c r="A57">
        <v>1056</v>
      </c>
      <c r="B57" t="s">
        <v>31</v>
      </c>
      <c r="C57" t="s">
        <v>17</v>
      </c>
      <c r="D57" t="s">
        <v>11</v>
      </c>
      <c r="E57" s="1">
        <v>46259</v>
      </c>
      <c r="F57">
        <v>56</v>
      </c>
      <c r="G57">
        <v>4</v>
      </c>
      <c r="H57">
        <v>758</v>
      </c>
      <c r="I57" t="s">
        <v>12</v>
      </c>
      <c r="J57" t="str">
        <f>_xlfn.XLOOKUP(tblOrders[[#This Row],[RestaurantID]],Restaurants!A57:A71,Restaurants!B57:B71,"Unknown")</f>
        <v>Unknown</v>
      </c>
      <c r="K57" t="str">
        <f>_xlfn.XLOOKUP(tblOrders[[#This Row],[RestaurantID]],Restaurants!A57:A71,Restaurants!C57:C71,"Unknown")</f>
        <v>Unknown</v>
      </c>
    </row>
    <row r="58" spans="1:11" x14ac:dyDescent="0.3">
      <c r="A58">
        <v>1057</v>
      </c>
      <c r="B58" t="s">
        <v>32</v>
      </c>
      <c r="C58" t="s">
        <v>20</v>
      </c>
      <c r="D58" t="s">
        <v>15</v>
      </c>
      <c r="E58" s="1">
        <v>46260</v>
      </c>
      <c r="F58">
        <v>24</v>
      </c>
      <c r="G58">
        <v>4.3</v>
      </c>
      <c r="H58">
        <v>841</v>
      </c>
      <c r="I58" t="s">
        <v>12</v>
      </c>
      <c r="J58" t="str">
        <f>_xlfn.XLOOKUP(tblOrders[[#This Row],[RestaurantID]],Restaurants!A58:A72,Restaurants!B58:B72,"Unknown")</f>
        <v>Unknown</v>
      </c>
      <c r="K58" t="str">
        <f>_xlfn.XLOOKUP(tblOrders[[#This Row],[RestaurantID]],Restaurants!A58:A72,Restaurants!C58:C72,"Unknown")</f>
        <v>Unknown</v>
      </c>
    </row>
    <row r="59" spans="1:11" x14ac:dyDescent="0.3">
      <c r="A59">
        <v>1058</v>
      </c>
      <c r="B59" t="s">
        <v>33</v>
      </c>
      <c r="C59" t="s">
        <v>10</v>
      </c>
      <c r="D59" t="s">
        <v>18</v>
      </c>
      <c r="E59" s="1">
        <v>46261</v>
      </c>
      <c r="F59">
        <v>31</v>
      </c>
      <c r="G59">
        <v>4.5999999999999996</v>
      </c>
      <c r="H59">
        <v>924</v>
      </c>
      <c r="I59" t="s">
        <v>12</v>
      </c>
      <c r="J59" t="str">
        <f>_xlfn.XLOOKUP(tblOrders[[#This Row],[RestaurantID]],Restaurants!A59:A73,Restaurants!B59:B73,"Unknown")</f>
        <v>Unknown</v>
      </c>
      <c r="K59" t="str">
        <f>_xlfn.XLOOKUP(tblOrders[[#This Row],[RestaurantID]],Restaurants!A59:A73,Restaurants!C59:C73,"Unknown")</f>
        <v>Unknown</v>
      </c>
    </row>
    <row r="60" spans="1:11" x14ac:dyDescent="0.3">
      <c r="A60">
        <v>1059</v>
      </c>
      <c r="B60" t="s">
        <v>34</v>
      </c>
      <c r="C60" t="s">
        <v>14</v>
      </c>
      <c r="D60" t="s">
        <v>21</v>
      </c>
      <c r="E60" s="1">
        <v>46262</v>
      </c>
      <c r="F60">
        <v>38</v>
      </c>
      <c r="G60">
        <v>4.9000000000000004</v>
      </c>
      <c r="H60">
        <v>406</v>
      </c>
      <c r="I60" t="s">
        <v>24</v>
      </c>
      <c r="J60" t="str">
        <f>_xlfn.XLOOKUP(tblOrders[[#This Row],[RestaurantID]],Restaurants!A60:A74,Restaurants!B60:B74,"Unknown")</f>
        <v>Unknown</v>
      </c>
      <c r="K60" t="str">
        <f>_xlfn.XLOOKUP(tblOrders[[#This Row],[RestaurantID]],Restaurants!A60:A74,Restaurants!C60:C74,"Unknown")</f>
        <v>Unknown</v>
      </c>
    </row>
    <row r="61" spans="1:11" x14ac:dyDescent="0.3">
      <c r="A61">
        <v>1060</v>
      </c>
      <c r="B61" t="s">
        <v>35</v>
      </c>
      <c r="C61" t="s">
        <v>17</v>
      </c>
      <c r="D61" t="s">
        <v>23</v>
      </c>
      <c r="E61" s="1">
        <v>46263</v>
      </c>
      <c r="F61">
        <v>45</v>
      </c>
      <c r="G61">
        <v>3.6</v>
      </c>
      <c r="H61">
        <v>489</v>
      </c>
      <c r="I61" t="s">
        <v>26</v>
      </c>
      <c r="J61" t="str">
        <f>_xlfn.XLOOKUP(tblOrders[[#This Row],[RestaurantID]],Restaurants!A61:A75,Restaurants!B61:B75,"Unknown")</f>
        <v>Unknown</v>
      </c>
      <c r="K61" t="str">
        <f>_xlfn.XLOOKUP(tblOrders[[#This Row],[RestaurantID]],Restaurants!A61:A75,Restaurants!C61:C75,"Unknown")</f>
        <v>Unknown</v>
      </c>
    </row>
    <row r="62" spans="1:11" x14ac:dyDescent="0.3">
      <c r="A62">
        <v>1061</v>
      </c>
      <c r="B62" t="s">
        <v>9</v>
      </c>
      <c r="C62" t="s">
        <v>10</v>
      </c>
      <c r="D62" t="s">
        <v>11</v>
      </c>
      <c r="E62" s="1">
        <v>46264</v>
      </c>
      <c r="F62">
        <v>52</v>
      </c>
      <c r="G62">
        <v>3.9</v>
      </c>
      <c r="H62">
        <v>572</v>
      </c>
      <c r="I62" t="s">
        <v>12</v>
      </c>
      <c r="J62" t="str">
        <f>_xlfn.XLOOKUP(tblOrders[[#This Row],[RestaurantID]],Restaurants!A62:A76,Restaurants!B62:B76,"Unknown")</f>
        <v>Unknown</v>
      </c>
      <c r="K62" t="str">
        <f>_xlfn.XLOOKUP(tblOrders[[#This Row],[RestaurantID]],Restaurants!A62:A76,Restaurants!C62:C76,"Unknown")</f>
        <v>Unknown</v>
      </c>
    </row>
    <row r="63" spans="1:11" x14ac:dyDescent="0.3">
      <c r="A63">
        <v>1062</v>
      </c>
      <c r="B63" t="s">
        <v>13</v>
      </c>
      <c r="C63" t="s">
        <v>14</v>
      </c>
      <c r="D63" t="s">
        <v>15</v>
      </c>
      <c r="E63" s="1">
        <v>46265</v>
      </c>
      <c r="F63">
        <v>59</v>
      </c>
      <c r="G63">
        <v>4.2</v>
      </c>
      <c r="H63">
        <v>655</v>
      </c>
      <c r="I63" t="s">
        <v>12</v>
      </c>
      <c r="J63" t="str">
        <f>_xlfn.XLOOKUP(tblOrders[[#This Row],[RestaurantID]],Restaurants!A63:A77,Restaurants!B63:B77,"Unknown")</f>
        <v>Unknown</v>
      </c>
      <c r="K63" t="str">
        <f>_xlfn.XLOOKUP(tblOrders[[#This Row],[RestaurantID]],Restaurants!A63:A77,Restaurants!C63:C77,"Unknown")</f>
        <v>Unknown</v>
      </c>
    </row>
    <row r="64" spans="1:11" x14ac:dyDescent="0.3">
      <c r="A64">
        <v>1063</v>
      </c>
      <c r="B64" t="s">
        <v>16</v>
      </c>
      <c r="C64" t="s">
        <v>17</v>
      </c>
      <c r="D64" t="s">
        <v>18</v>
      </c>
      <c r="E64" s="1">
        <v>46266</v>
      </c>
      <c r="F64">
        <v>27</v>
      </c>
      <c r="G64">
        <v>4.5</v>
      </c>
      <c r="H64">
        <v>738</v>
      </c>
      <c r="I64" t="s">
        <v>12</v>
      </c>
      <c r="J64" t="str">
        <f>_xlfn.XLOOKUP(tblOrders[[#This Row],[RestaurantID]],Restaurants!A64:A78,Restaurants!B64:B78,"Unknown")</f>
        <v>Unknown</v>
      </c>
      <c r="K64" t="str">
        <f>_xlfn.XLOOKUP(tblOrders[[#This Row],[RestaurantID]],Restaurants!A64:A78,Restaurants!C64:C78,"Unknown")</f>
        <v>Unknown</v>
      </c>
    </row>
    <row r="65" spans="1:11" x14ac:dyDescent="0.3">
      <c r="A65">
        <v>1064</v>
      </c>
      <c r="B65" t="s">
        <v>19</v>
      </c>
      <c r="C65" t="s">
        <v>20</v>
      </c>
      <c r="D65" t="s">
        <v>21</v>
      </c>
      <c r="E65" s="1">
        <v>46267</v>
      </c>
      <c r="F65">
        <v>34</v>
      </c>
      <c r="G65">
        <v>4.8</v>
      </c>
      <c r="H65">
        <v>821</v>
      </c>
      <c r="I65" t="s">
        <v>12</v>
      </c>
      <c r="J65" t="str">
        <f>_xlfn.XLOOKUP(tblOrders[[#This Row],[RestaurantID]],Restaurants!A65:A79,Restaurants!B65:B79,"Unknown")</f>
        <v>Unknown</v>
      </c>
      <c r="K65" t="str">
        <f>_xlfn.XLOOKUP(tblOrders[[#This Row],[RestaurantID]],Restaurants!A65:A79,Restaurants!C65:C79,"Unknown")</f>
        <v>Unknown</v>
      </c>
    </row>
    <row r="66" spans="1:11" x14ac:dyDescent="0.3">
      <c r="A66">
        <v>1065</v>
      </c>
      <c r="B66" t="s">
        <v>22</v>
      </c>
      <c r="C66" t="s">
        <v>10</v>
      </c>
      <c r="D66" t="s">
        <v>23</v>
      </c>
      <c r="E66" s="1">
        <v>46268</v>
      </c>
      <c r="F66">
        <v>41</v>
      </c>
      <c r="G66">
        <v>3.5</v>
      </c>
      <c r="H66">
        <v>904</v>
      </c>
      <c r="I66" t="s">
        <v>24</v>
      </c>
      <c r="J66" t="str">
        <f>_xlfn.XLOOKUP(tblOrders[[#This Row],[RestaurantID]],Restaurants!A66:A80,Restaurants!B66:B80,"Unknown")</f>
        <v>Unknown</v>
      </c>
      <c r="K66" t="str">
        <f>_xlfn.XLOOKUP(tblOrders[[#This Row],[RestaurantID]],Restaurants!A66:A80,Restaurants!C66:C80,"Unknown")</f>
        <v>Unknown</v>
      </c>
    </row>
    <row r="67" spans="1:11" x14ac:dyDescent="0.3">
      <c r="A67">
        <v>1066</v>
      </c>
      <c r="B67" t="s">
        <v>25</v>
      </c>
      <c r="C67" t="s">
        <v>14</v>
      </c>
      <c r="D67" t="s">
        <v>11</v>
      </c>
      <c r="E67" s="1">
        <v>46269</v>
      </c>
      <c r="F67">
        <v>48</v>
      </c>
      <c r="G67">
        <v>3.8</v>
      </c>
      <c r="H67">
        <v>987</v>
      </c>
      <c r="I67" t="s">
        <v>26</v>
      </c>
      <c r="J67" t="str">
        <f>_xlfn.XLOOKUP(tblOrders[[#This Row],[RestaurantID]],Restaurants!A67:A81,Restaurants!B67:B81,"Unknown")</f>
        <v>Unknown</v>
      </c>
      <c r="K67" t="str">
        <f>_xlfn.XLOOKUP(tblOrders[[#This Row],[RestaurantID]],Restaurants!A67:A81,Restaurants!C67:C81,"Unknown")</f>
        <v>Unknown</v>
      </c>
    </row>
    <row r="68" spans="1:11" x14ac:dyDescent="0.3">
      <c r="A68">
        <v>1067</v>
      </c>
      <c r="B68" t="s">
        <v>27</v>
      </c>
      <c r="C68" t="s">
        <v>17</v>
      </c>
      <c r="D68" t="s">
        <v>15</v>
      </c>
      <c r="E68" s="1">
        <v>46270</v>
      </c>
      <c r="F68">
        <v>55</v>
      </c>
      <c r="G68">
        <v>4.0999999999999996</v>
      </c>
      <c r="H68">
        <v>469</v>
      </c>
      <c r="I68" t="s">
        <v>12</v>
      </c>
      <c r="J68" t="str">
        <f>_xlfn.XLOOKUP(tblOrders[[#This Row],[RestaurantID]],Restaurants!A68:A82,Restaurants!B68:B82,"Unknown")</f>
        <v>Unknown</v>
      </c>
      <c r="K68" t="str">
        <f>_xlfn.XLOOKUP(tblOrders[[#This Row],[RestaurantID]],Restaurants!A68:A82,Restaurants!C68:C82,"Unknown")</f>
        <v>Unknown</v>
      </c>
    </row>
    <row r="69" spans="1:11" x14ac:dyDescent="0.3">
      <c r="A69">
        <v>1068</v>
      </c>
      <c r="B69" t="s">
        <v>28</v>
      </c>
      <c r="C69" t="s">
        <v>20</v>
      </c>
      <c r="D69" t="s">
        <v>18</v>
      </c>
      <c r="E69" s="1">
        <v>46271</v>
      </c>
      <c r="F69">
        <v>23</v>
      </c>
      <c r="G69">
        <v>4.4000000000000004</v>
      </c>
      <c r="H69">
        <v>552</v>
      </c>
      <c r="I69" t="s">
        <v>12</v>
      </c>
      <c r="J69" t="str">
        <f>_xlfn.XLOOKUP(tblOrders[[#This Row],[RestaurantID]],Restaurants!A69:A83,Restaurants!B69:B83,"Unknown")</f>
        <v>Unknown</v>
      </c>
      <c r="K69" t="str">
        <f>_xlfn.XLOOKUP(tblOrders[[#This Row],[RestaurantID]],Restaurants!A69:A83,Restaurants!C69:C83,"Unknown")</f>
        <v>Unknown</v>
      </c>
    </row>
    <row r="70" spans="1:11" x14ac:dyDescent="0.3">
      <c r="A70">
        <v>1069</v>
      </c>
      <c r="B70" t="s">
        <v>29</v>
      </c>
      <c r="C70" t="s">
        <v>10</v>
      </c>
      <c r="D70" t="s">
        <v>21</v>
      </c>
      <c r="E70" s="1">
        <v>46272</v>
      </c>
      <c r="F70">
        <v>30</v>
      </c>
      <c r="G70">
        <v>4.7</v>
      </c>
      <c r="H70">
        <v>635</v>
      </c>
      <c r="I70" t="s">
        <v>12</v>
      </c>
      <c r="J70" t="str">
        <f>_xlfn.XLOOKUP(tblOrders[[#This Row],[RestaurantID]],Restaurants!A70:A84,Restaurants!B70:B84,"Unknown")</f>
        <v>Unknown</v>
      </c>
      <c r="K70" t="str">
        <f>_xlfn.XLOOKUP(tblOrders[[#This Row],[RestaurantID]],Restaurants!A70:A84,Restaurants!C70:C84,"Unknown")</f>
        <v>Unknown</v>
      </c>
    </row>
    <row r="71" spans="1:11" x14ac:dyDescent="0.3">
      <c r="A71">
        <v>1070</v>
      </c>
      <c r="B71" t="s">
        <v>30</v>
      </c>
      <c r="C71" t="s">
        <v>14</v>
      </c>
      <c r="D71" t="s">
        <v>23</v>
      </c>
      <c r="E71" s="1">
        <v>46273</v>
      </c>
      <c r="F71">
        <v>37</v>
      </c>
      <c r="G71">
        <v>5</v>
      </c>
      <c r="H71">
        <v>718</v>
      </c>
      <c r="I71" t="s">
        <v>12</v>
      </c>
      <c r="J71" t="str">
        <f>_xlfn.XLOOKUP(tblOrders[[#This Row],[RestaurantID]],Restaurants!A71:A85,Restaurants!B71:B85,"Unknown")</f>
        <v>Unknown</v>
      </c>
      <c r="K71" t="str">
        <f>_xlfn.XLOOKUP(tblOrders[[#This Row],[RestaurantID]],Restaurants!A71:A85,Restaurants!C71:C85,"Unknown")</f>
        <v>Unknown</v>
      </c>
    </row>
    <row r="72" spans="1:11" x14ac:dyDescent="0.3">
      <c r="A72">
        <v>1071</v>
      </c>
      <c r="B72" t="s">
        <v>31</v>
      </c>
      <c r="C72" t="s">
        <v>17</v>
      </c>
      <c r="D72" t="s">
        <v>11</v>
      </c>
      <c r="E72" s="1">
        <v>46274</v>
      </c>
      <c r="F72">
        <v>44</v>
      </c>
      <c r="G72">
        <v>3.7</v>
      </c>
      <c r="H72">
        <v>801</v>
      </c>
      <c r="I72" t="s">
        <v>24</v>
      </c>
      <c r="J72" t="str">
        <f>_xlfn.XLOOKUP(tblOrders[[#This Row],[RestaurantID]],Restaurants!A72:A86,Restaurants!B72:B86,"Unknown")</f>
        <v>Unknown</v>
      </c>
      <c r="K72" t="str">
        <f>_xlfn.XLOOKUP(tblOrders[[#This Row],[RestaurantID]],Restaurants!A72:A86,Restaurants!C72:C86,"Unknown")</f>
        <v>Unknown</v>
      </c>
    </row>
    <row r="73" spans="1:11" x14ac:dyDescent="0.3">
      <c r="A73">
        <v>1072</v>
      </c>
      <c r="B73" t="s">
        <v>32</v>
      </c>
      <c r="C73" t="s">
        <v>20</v>
      </c>
      <c r="D73" t="s">
        <v>15</v>
      </c>
      <c r="E73" s="1">
        <v>46275</v>
      </c>
      <c r="F73">
        <v>51</v>
      </c>
      <c r="G73">
        <v>4</v>
      </c>
      <c r="H73">
        <v>884</v>
      </c>
      <c r="I73" t="s">
        <v>26</v>
      </c>
      <c r="J73" t="str">
        <f>_xlfn.XLOOKUP(tblOrders[[#This Row],[RestaurantID]],Restaurants!A73:A87,Restaurants!B73:B87,"Unknown")</f>
        <v>Unknown</v>
      </c>
      <c r="K73" t="str">
        <f>_xlfn.XLOOKUP(tblOrders[[#This Row],[RestaurantID]],Restaurants!A73:A87,Restaurants!C73:C87,"Unknown")</f>
        <v>Unknown</v>
      </c>
    </row>
    <row r="74" spans="1:11" x14ac:dyDescent="0.3">
      <c r="A74">
        <v>1073</v>
      </c>
      <c r="B74" t="s">
        <v>33</v>
      </c>
      <c r="C74" t="s">
        <v>10</v>
      </c>
      <c r="D74" t="s">
        <v>18</v>
      </c>
      <c r="E74" s="1">
        <v>46276</v>
      </c>
      <c r="F74">
        <v>58</v>
      </c>
      <c r="G74">
        <v>4.3</v>
      </c>
      <c r="H74">
        <v>967</v>
      </c>
      <c r="I74" t="s">
        <v>12</v>
      </c>
      <c r="J74" t="str">
        <f>_xlfn.XLOOKUP(tblOrders[[#This Row],[RestaurantID]],Restaurants!A74:A88,Restaurants!B74:B88,"Unknown")</f>
        <v>Unknown</v>
      </c>
      <c r="K74" t="str">
        <f>_xlfn.XLOOKUP(tblOrders[[#This Row],[RestaurantID]],Restaurants!A74:A88,Restaurants!C74:C88,"Unknown")</f>
        <v>Unknown</v>
      </c>
    </row>
    <row r="75" spans="1:11" x14ac:dyDescent="0.3">
      <c r="A75">
        <v>1074</v>
      </c>
      <c r="B75" t="s">
        <v>34</v>
      </c>
      <c r="C75" t="s">
        <v>14</v>
      </c>
      <c r="D75" t="s">
        <v>21</v>
      </c>
      <c r="E75" s="1">
        <v>46277</v>
      </c>
      <c r="F75">
        <v>26</v>
      </c>
      <c r="G75">
        <v>4.5999999999999996</v>
      </c>
      <c r="H75">
        <v>449</v>
      </c>
      <c r="I75" t="s">
        <v>12</v>
      </c>
      <c r="J75" t="str">
        <f>_xlfn.XLOOKUP(tblOrders[[#This Row],[RestaurantID]],Restaurants!A75:A89,Restaurants!B75:B89,"Unknown")</f>
        <v>Unknown</v>
      </c>
      <c r="K75" t="str">
        <f>_xlfn.XLOOKUP(tblOrders[[#This Row],[RestaurantID]],Restaurants!A75:A89,Restaurants!C75:C89,"Unknown")</f>
        <v>Unknown</v>
      </c>
    </row>
    <row r="76" spans="1:11" x14ac:dyDescent="0.3">
      <c r="A76">
        <v>1075</v>
      </c>
      <c r="B76" t="s">
        <v>35</v>
      </c>
      <c r="C76" t="s">
        <v>17</v>
      </c>
      <c r="D76" t="s">
        <v>23</v>
      </c>
      <c r="E76" s="1">
        <v>46278</v>
      </c>
      <c r="F76">
        <v>33</v>
      </c>
      <c r="G76">
        <v>4.9000000000000004</v>
      </c>
      <c r="H76">
        <v>532</v>
      </c>
      <c r="I76" t="s">
        <v>12</v>
      </c>
      <c r="J76" t="str">
        <f>_xlfn.XLOOKUP(tblOrders[[#This Row],[RestaurantID]],Restaurants!A76:A90,Restaurants!B76:B90,"Unknown")</f>
        <v>Unknown</v>
      </c>
      <c r="K76" t="str">
        <f>_xlfn.XLOOKUP(tblOrders[[#This Row],[RestaurantID]],Restaurants!A76:A90,Restaurants!C76:C90,"Unknown")</f>
        <v>Unknown</v>
      </c>
    </row>
    <row r="77" spans="1:11" x14ac:dyDescent="0.3">
      <c r="A77">
        <v>1076</v>
      </c>
      <c r="B77" t="s">
        <v>9</v>
      </c>
      <c r="C77" t="s">
        <v>10</v>
      </c>
      <c r="D77" t="s">
        <v>11</v>
      </c>
      <c r="E77" s="1">
        <v>46279</v>
      </c>
      <c r="F77">
        <v>40</v>
      </c>
      <c r="G77">
        <v>3.6</v>
      </c>
      <c r="H77">
        <v>615</v>
      </c>
      <c r="I77" t="s">
        <v>12</v>
      </c>
      <c r="J77" t="str">
        <f>_xlfn.XLOOKUP(tblOrders[[#This Row],[RestaurantID]],Restaurants!A77:A91,Restaurants!B77:B91,"Unknown")</f>
        <v>Unknown</v>
      </c>
      <c r="K77" t="str">
        <f>_xlfn.XLOOKUP(tblOrders[[#This Row],[RestaurantID]],Restaurants!A77:A91,Restaurants!C77:C91,"Unknown")</f>
        <v>Unknown</v>
      </c>
    </row>
    <row r="78" spans="1:11" x14ac:dyDescent="0.3">
      <c r="A78">
        <v>1077</v>
      </c>
      <c r="B78" t="s">
        <v>13</v>
      </c>
      <c r="C78" t="s">
        <v>14</v>
      </c>
      <c r="D78" t="s">
        <v>15</v>
      </c>
      <c r="E78" s="1">
        <v>46280</v>
      </c>
      <c r="F78">
        <v>65</v>
      </c>
      <c r="G78">
        <v>3.9</v>
      </c>
      <c r="H78">
        <v>698</v>
      </c>
      <c r="I78" t="s">
        <v>24</v>
      </c>
      <c r="J78" t="str">
        <f>_xlfn.XLOOKUP(tblOrders[[#This Row],[RestaurantID]],Restaurants!A78:A92,Restaurants!B78:B92,"Unknown")</f>
        <v>Unknown</v>
      </c>
      <c r="K78" t="str">
        <f>_xlfn.XLOOKUP(tblOrders[[#This Row],[RestaurantID]],Restaurants!A78:A92,Restaurants!C78:C92,"Unknown")</f>
        <v>Unknown</v>
      </c>
    </row>
    <row r="79" spans="1:11" x14ac:dyDescent="0.3">
      <c r="A79">
        <v>1078</v>
      </c>
      <c r="B79" t="s">
        <v>16</v>
      </c>
      <c r="C79" t="s">
        <v>17</v>
      </c>
      <c r="D79" t="s">
        <v>18</v>
      </c>
      <c r="E79" s="1">
        <v>46281</v>
      </c>
      <c r="F79">
        <v>54</v>
      </c>
      <c r="G79">
        <v>4.2</v>
      </c>
      <c r="H79">
        <v>781</v>
      </c>
      <c r="I79" t="s">
        <v>26</v>
      </c>
      <c r="J79" t="str">
        <f>_xlfn.XLOOKUP(tblOrders[[#This Row],[RestaurantID]],Restaurants!A79:A93,Restaurants!B79:B93,"Unknown")</f>
        <v>Unknown</v>
      </c>
      <c r="K79" t="str">
        <f>_xlfn.XLOOKUP(tblOrders[[#This Row],[RestaurantID]],Restaurants!A79:A93,Restaurants!C79:C93,"Unknown")</f>
        <v>Unknown</v>
      </c>
    </row>
    <row r="80" spans="1:11" x14ac:dyDescent="0.3">
      <c r="A80">
        <v>1079</v>
      </c>
      <c r="B80" t="s">
        <v>19</v>
      </c>
      <c r="C80" t="s">
        <v>20</v>
      </c>
      <c r="D80" t="s">
        <v>21</v>
      </c>
      <c r="E80" s="1">
        <v>46282</v>
      </c>
      <c r="F80">
        <v>22</v>
      </c>
      <c r="G80">
        <v>4.5</v>
      </c>
      <c r="H80">
        <v>864</v>
      </c>
      <c r="I80" t="s">
        <v>12</v>
      </c>
      <c r="J80" t="str">
        <f>_xlfn.XLOOKUP(tblOrders[[#This Row],[RestaurantID]],Restaurants!A80:A94,Restaurants!B80:B94,"Unknown")</f>
        <v>Unknown</v>
      </c>
      <c r="K80" t="str">
        <f>_xlfn.XLOOKUP(tblOrders[[#This Row],[RestaurantID]],Restaurants!A80:A94,Restaurants!C80:C94,"Unknown")</f>
        <v>Unknown</v>
      </c>
    </row>
    <row r="81" spans="1:11" x14ac:dyDescent="0.3">
      <c r="A81">
        <v>1080</v>
      </c>
      <c r="B81" t="s">
        <v>22</v>
      </c>
      <c r="C81" t="s">
        <v>10</v>
      </c>
      <c r="D81" t="s">
        <v>23</v>
      </c>
      <c r="E81" s="1">
        <v>46283</v>
      </c>
      <c r="F81">
        <v>29</v>
      </c>
      <c r="G81">
        <v>4.8</v>
      </c>
      <c r="H81">
        <v>947</v>
      </c>
      <c r="I81" t="s">
        <v>12</v>
      </c>
      <c r="J81" t="str">
        <f>_xlfn.XLOOKUP(tblOrders[[#This Row],[RestaurantID]],Restaurants!A81:A95,Restaurants!B81:B95,"Unknown")</f>
        <v>Unknown</v>
      </c>
      <c r="K81" t="str">
        <f>_xlfn.XLOOKUP(tblOrders[[#This Row],[RestaurantID]],Restaurants!A81:A95,Restaurants!C81:C95,"Unknown")</f>
        <v>Unknown</v>
      </c>
    </row>
    <row r="82" spans="1:11" x14ac:dyDescent="0.3">
      <c r="A82">
        <v>1081</v>
      </c>
      <c r="B82" t="s">
        <v>25</v>
      </c>
      <c r="C82" t="s">
        <v>14</v>
      </c>
      <c r="D82" t="s">
        <v>11</v>
      </c>
      <c r="E82" s="1">
        <v>46284</v>
      </c>
      <c r="F82">
        <v>36</v>
      </c>
      <c r="G82">
        <v>3.5</v>
      </c>
      <c r="H82">
        <v>429</v>
      </c>
      <c r="I82" t="s">
        <v>12</v>
      </c>
      <c r="J82" t="str">
        <f>_xlfn.XLOOKUP(tblOrders[[#This Row],[RestaurantID]],Restaurants!A82:A96,Restaurants!B82:B96,"Unknown")</f>
        <v>Unknown</v>
      </c>
      <c r="K82" t="str">
        <f>_xlfn.XLOOKUP(tblOrders[[#This Row],[RestaurantID]],Restaurants!A82:A96,Restaurants!C82:C96,"Unknown")</f>
        <v>Unknown</v>
      </c>
    </row>
    <row r="83" spans="1:11" x14ac:dyDescent="0.3">
      <c r="A83">
        <v>1082</v>
      </c>
      <c r="B83" t="s">
        <v>27</v>
      </c>
      <c r="C83" t="s">
        <v>17</v>
      </c>
      <c r="D83" t="s">
        <v>15</v>
      </c>
      <c r="E83" s="1">
        <v>46285</v>
      </c>
      <c r="F83">
        <v>43</v>
      </c>
      <c r="G83">
        <v>3.8</v>
      </c>
      <c r="H83">
        <v>512</v>
      </c>
      <c r="I83" t="s">
        <v>12</v>
      </c>
      <c r="J83" t="str">
        <f>_xlfn.XLOOKUP(tblOrders[[#This Row],[RestaurantID]],Restaurants!A83:A97,Restaurants!B83:B97,"Unknown")</f>
        <v>Unknown</v>
      </c>
      <c r="K83" t="str">
        <f>_xlfn.XLOOKUP(tblOrders[[#This Row],[RestaurantID]],Restaurants!A83:A97,Restaurants!C83:C97,"Unknown")</f>
        <v>Unknown</v>
      </c>
    </row>
    <row r="84" spans="1:11" x14ac:dyDescent="0.3">
      <c r="A84">
        <v>1083</v>
      </c>
      <c r="B84" t="s">
        <v>28</v>
      </c>
      <c r="C84" t="s">
        <v>20</v>
      </c>
      <c r="D84" t="s">
        <v>18</v>
      </c>
      <c r="E84" s="1">
        <v>46286</v>
      </c>
      <c r="F84">
        <v>50</v>
      </c>
      <c r="G84">
        <v>4.0999999999999996</v>
      </c>
      <c r="H84">
        <v>595</v>
      </c>
      <c r="I84" t="s">
        <v>24</v>
      </c>
      <c r="J84" t="str">
        <f>_xlfn.XLOOKUP(tblOrders[[#This Row],[RestaurantID]],Restaurants!A84:A98,Restaurants!B84:B98,"Unknown")</f>
        <v>Unknown</v>
      </c>
      <c r="K84" t="str">
        <f>_xlfn.XLOOKUP(tblOrders[[#This Row],[RestaurantID]],Restaurants!A84:A98,Restaurants!C84:C98,"Unknown")</f>
        <v>Unknown</v>
      </c>
    </row>
    <row r="85" spans="1:11" x14ac:dyDescent="0.3">
      <c r="A85">
        <v>1084</v>
      </c>
      <c r="B85" t="s">
        <v>29</v>
      </c>
      <c r="C85" t="s">
        <v>10</v>
      </c>
      <c r="D85" t="s">
        <v>21</v>
      </c>
      <c r="E85" s="1">
        <v>46287</v>
      </c>
      <c r="F85">
        <v>57</v>
      </c>
      <c r="G85">
        <v>4.4000000000000004</v>
      </c>
      <c r="H85">
        <v>678</v>
      </c>
      <c r="I85" t="s">
        <v>26</v>
      </c>
      <c r="J85" t="str">
        <f>_xlfn.XLOOKUP(tblOrders[[#This Row],[RestaurantID]],Restaurants!A85:A99,Restaurants!B85:B99,"Unknown")</f>
        <v>Unknown</v>
      </c>
      <c r="K85" t="str">
        <f>_xlfn.XLOOKUP(tblOrders[[#This Row],[RestaurantID]],Restaurants!A85:A99,Restaurants!C85:C99,"Unknown")</f>
        <v>Unknown</v>
      </c>
    </row>
    <row r="86" spans="1:11" x14ac:dyDescent="0.3">
      <c r="A86">
        <v>1085</v>
      </c>
      <c r="B86" t="s">
        <v>30</v>
      </c>
      <c r="C86" t="s">
        <v>14</v>
      </c>
      <c r="D86" t="s">
        <v>23</v>
      </c>
      <c r="E86" s="1">
        <v>46288</v>
      </c>
      <c r="F86">
        <v>25</v>
      </c>
      <c r="G86">
        <v>4.7</v>
      </c>
      <c r="H86">
        <v>761</v>
      </c>
      <c r="I86" t="s">
        <v>12</v>
      </c>
      <c r="J86" t="str">
        <f>_xlfn.XLOOKUP(tblOrders[[#This Row],[RestaurantID]],Restaurants!A86:A100,Restaurants!B86:B100,"Unknown")</f>
        <v>Unknown</v>
      </c>
      <c r="K86" t="str">
        <f>_xlfn.XLOOKUP(tblOrders[[#This Row],[RestaurantID]],Restaurants!A86:A100,Restaurants!C86:C100,"Unknown")</f>
        <v>Unknown</v>
      </c>
    </row>
    <row r="87" spans="1:11" x14ac:dyDescent="0.3">
      <c r="A87">
        <v>1086</v>
      </c>
      <c r="B87" t="s">
        <v>31</v>
      </c>
      <c r="C87" t="s">
        <v>17</v>
      </c>
      <c r="D87" t="s">
        <v>11</v>
      </c>
      <c r="E87" s="1">
        <v>46289</v>
      </c>
      <c r="F87">
        <v>32</v>
      </c>
      <c r="G87">
        <v>5</v>
      </c>
      <c r="H87">
        <v>844</v>
      </c>
      <c r="I87" t="s">
        <v>12</v>
      </c>
      <c r="J87" t="str">
        <f>_xlfn.XLOOKUP(tblOrders[[#This Row],[RestaurantID]],Restaurants!A87:A101,Restaurants!B87:B101,"Unknown")</f>
        <v>Unknown</v>
      </c>
      <c r="K87" t="str">
        <f>_xlfn.XLOOKUP(tblOrders[[#This Row],[RestaurantID]],Restaurants!A87:A101,Restaurants!C87:C101,"Unknown")</f>
        <v>Unknown</v>
      </c>
    </row>
    <row r="88" spans="1:11" x14ac:dyDescent="0.3">
      <c r="A88">
        <v>1087</v>
      </c>
      <c r="B88" t="s">
        <v>32</v>
      </c>
      <c r="C88" t="s">
        <v>20</v>
      </c>
      <c r="D88" t="s">
        <v>15</v>
      </c>
      <c r="E88" s="1">
        <v>46290</v>
      </c>
      <c r="F88">
        <v>39</v>
      </c>
      <c r="G88">
        <v>3.7</v>
      </c>
      <c r="H88">
        <v>927</v>
      </c>
      <c r="I88" t="s">
        <v>12</v>
      </c>
      <c r="J88" t="str">
        <f>_xlfn.XLOOKUP(tblOrders[[#This Row],[RestaurantID]],Restaurants!A88:A102,Restaurants!B88:B102,"Unknown")</f>
        <v>Unknown</v>
      </c>
      <c r="K88" t="str">
        <f>_xlfn.XLOOKUP(tblOrders[[#This Row],[RestaurantID]],Restaurants!A88:A102,Restaurants!C88:C102,"Unknown")</f>
        <v>Unknown</v>
      </c>
    </row>
    <row r="89" spans="1:11" x14ac:dyDescent="0.3">
      <c r="A89">
        <v>1088</v>
      </c>
      <c r="B89" t="s">
        <v>33</v>
      </c>
      <c r="C89" t="s">
        <v>10</v>
      </c>
      <c r="D89" t="s">
        <v>18</v>
      </c>
      <c r="E89" s="1">
        <v>46291</v>
      </c>
      <c r="F89">
        <v>46</v>
      </c>
      <c r="G89">
        <v>4</v>
      </c>
      <c r="H89">
        <v>409</v>
      </c>
      <c r="I89" t="s">
        <v>12</v>
      </c>
      <c r="J89" t="str">
        <f>_xlfn.XLOOKUP(tblOrders[[#This Row],[RestaurantID]],Restaurants!A89:A103,Restaurants!B89:B103,"Unknown")</f>
        <v>Unknown</v>
      </c>
      <c r="K89" t="str">
        <f>_xlfn.XLOOKUP(tblOrders[[#This Row],[RestaurantID]],Restaurants!A89:A103,Restaurants!C89:C103,"Unknown")</f>
        <v>Unknown</v>
      </c>
    </row>
    <row r="90" spans="1:11" x14ac:dyDescent="0.3">
      <c r="A90">
        <v>1089</v>
      </c>
      <c r="B90" t="s">
        <v>34</v>
      </c>
      <c r="C90" t="s">
        <v>14</v>
      </c>
      <c r="D90" t="s">
        <v>21</v>
      </c>
      <c r="E90" s="1">
        <v>46292</v>
      </c>
      <c r="F90">
        <v>53</v>
      </c>
      <c r="G90">
        <v>4.3</v>
      </c>
      <c r="H90">
        <v>492</v>
      </c>
      <c r="I90" t="s">
        <v>24</v>
      </c>
      <c r="J90" t="str">
        <f>_xlfn.XLOOKUP(tblOrders[[#This Row],[RestaurantID]],Restaurants!A90:A104,Restaurants!B90:B104,"Unknown")</f>
        <v>Unknown</v>
      </c>
      <c r="K90" t="str">
        <f>_xlfn.XLOOKUP(tblOrders[[#This Row],[RestaurantID]],Restaurants!A90:A104,Restaurants!C90:C104,"Unknown")</f>
        <v>Unknown</v>
      </c>
    </row>
    <row r="91" spans="1:11" x14ac:dyDescent="0.3">
      <c r="A91">
        <v>1090</v>
      </c>
      <c r="B91" t="s">
        <v>35</v>
      </c>
      <c r="C91" t="s">
        <v>17</v>
      </c>
      <c r="D91" t="s">
        <v>23</v>
      </c>
      <c r="E91" s="1">
        <v>46293</v>
      </c>
      <c r="F91">
        <v>60</v>
      </c>
      <c r="G91">
        <v>4.5999999999999996</v>
      </c>
      <c r="H91">
        <v>575</v>
      </c>
      <c r="I91" t="s">
        <v>26</v>
      </c>
      <c r="J91" t="str">
        <f>_xlfn.XLOOKUP(tblOrders[[#This Row],[RestaurantID]],Restaurants!A91:A105,Restaurants!B91:B105,"Unknown")</f>
        <v>Unknown</v>
      </c>
      <c r="K91" t="str">
        <f>_xlfn.XLOOKUP(tblOrders[[#This Row],[RestaurantID]],Restaurants!A91:A105,Restaurants!C91:C105,"Unknown")</f>
        <v>Unknown</v>
      </c>
    </row>
    <row r="92" spans="1:11" x14ac:dyDescent="0.3">
      <c r="A92">
        <v>1091</v>
      </c>
      <c r="B92" t="s">
        <v>9</v>
      </c>
      <c r="C92" t="s">
        <v>10</v>
      </c>
      <c r="D92" t="s">
        <v>11</v>
      </c>
      <c r="E92" s="1">
        <v>46294</v>
      </c>
      <c r="F92">
        <v>28</v>
      </c>
      <c r="G92">
        <v>4.9000000000000004</v>
      </c>
      <c r="H92">
        <v>658</v>
      </c>
      <c r="I92" t="s">
        <v>12</v>
      </c>
      <c r="J92" t="str">
        <f>_xlfn.XLOOKUP(tblOrders[[#This Row],[RestaurantID]],Restaurants!A92:A106,Restaurants!B92:B106,"Unknown")</f>
        <v>Unknown</v>
      </c>
      <c r="K92" t="str">
        <f>_xlfn.XLOOKUP(tblOrders[[#This Row],[RestaurantID]],Restaurants!A92:A106,Restaurants!C92:C106,"Unknown")</f>
        <v>Unknown</v>
      </c>
    </row>
    <row r="93" spans="1:11" x14ac:dyDescent="0.3">
      <c r="A93">
        <v>1092</v>
      </c>
      <c r="B93" t="s">
        <v>13</v>
      </c>
      <c r="C93" t="s">
        <v>14</v>
      </c>
      <c r="D93" t="s">
        <v>15</v>
      </c>
      <c r="E93" s="1">
        <v>46295</v>
      </c>
      <c r="F93">
        <v>35</v>
      </c>
      <c r="G93">
        <v>3.6</v>
      </c>
      <c r="H93">
        <v>741</v>
      </c>
      <c r="I93" t="s">
        <v>12</v>
      </c>
      <c r="J93" t="str">
        <f>_xlfn.XLOOKUP(tblOrders[[#This Row],[RestaurantID]],Restaurants!A93:A107,Restaurants!B93:B107,"Unknown")</f>
        <v>Unknown</v>
      </c>
      <c r="K93" t="str">
        <f>_xlfn.XLOOKUP(tblOrders[[#This Row],[RestaurantID]],Restaurants!A93:A107,Restaurants!C93:C107,"Unknown")</f>
        <v>Unknown</v>
      </c>
    </row>
    <row r="94" spans="1:11" x14ac:dyDescent="0.3">
      <c r="A94">
        <v>1093</v>
      </c>
      <c r="B94" t="s">
        <v>16</v>
      </c>
      <c r="C94" t="s">
        <v>17</v>
      </c>
      <c r="D94" t="s">
        <v>18</v>
      </c>
      <c r="E94" s="1">
        <v>46204</v>
      </c>
      <c r="F94">
        <v>42</v>
      </c>
      <c r="G94">
        <v>3.9</v>
      </c>
      <c r="H94">
        <v>824</v>
      </c>
      <c r="I94" t="s">
        <v>12</v>
      </c>
      <c r="J94" t="str">
        <f>_xlfn.XLOOKUP(tblOrders[[#This Row],[RestaurantID]],Restaurants!A94:A108,Restaurants!B94:B108,"Unknown")</f>
        <v>Unknown</v>
      </c>
      <c r="K94" t="str">
        <f>_xlfn.XLOOKUP(tblOrders[[#This Row],[RestaurantID]],Restaurants!A94:A108,Restaurants!C94:C108,"Unknown")</f>
        <v>Unknown</v>
      </c>
    </row>
    <row r="95" spans="1:11" x14ac:dyDescent="0.3">
      <c r="A95">
        <v>1094</v>
      </c>
      <c r="B95" t="s">
        <v>19</v>
      </c>
      <c r="C95" t="s">
        <v>20</v>
      </c>
      <c r="D95" t="s">
        <v>21</v>
      </c>
      <c r="E95" s="1">
        <v>46205</v>
      </c>
      <c r="F95">
        <v>49</v>
      </c>
      <c r="G95">
        <v>4.2</v>
      </c>
      <c r="H95">
        <v>907</v>
      </c>
      <c r="I95" t="s">
        <v>12</v>
      </c>
      <c r="J95" t="str">
        <f>_xlfn.XLOOKUP(tblOrders[[#This Row],[RestaurantID]],Restaurants!A95:A109,Restaurants!B95:B109,"Unknown")</f>
        <v>Unknown</v>
      </c>
      <c r="K95" t="str">
        <f>_xlfn.XLOOKUP(tblOrders[[#This Row],[RestaurantID]],Restaurants!A95:A109,Restaurants!C95:C109,"Unknown")</f>
        <v>Unknown</v>
      </c>
    </row>
    <row r="96" spans="1:11" x14ac:dyDescent="0.3">
      <c r="A96">
        <v>1095</v>
      </c>
      <c r="B96" t="s">
        <v>22</v>
      </c>
      <c r="C96" t="s">
        <v>10</v>
      </c>
      <c r="D96" t="s">
        <v>23</v>
      </c>
      <c r="E96" s="1">
        <v>46206</v>
      </c>
      <c r="F96">
        <v>56</v>
      </c>
      <c r="G96">
        <v>4.5</v>
      </c>
      <c r="H96">
        <v>990</v>
      </c>
      <c r="I96" t="s">
        <v>24</v>
      </c>
      <c r="J96" t="str">
        <f>_xlfn.XLOOKUP(tblOrders[[#This Row],[RestaurantID]],Restaurants!A96:A110,Restaurants!B96:B110,"Unknown")</f>
        <v>Unknown</v>
      </c>
      <c r="K96" t="str">
        <f>_xlfn.XLOOKUP(tblOrders[[#This Row],[RestaurantID]],Restaurants!A96:A110,Restaurants!C96:C110,"Unknown")</f>
        <v>Unknown</v>
      </c>
    </row>
    <row r="97" spans="1:11" x14ac:dyDescent="0.3">
      <c r="A97">
        <v>1096</v>
      </c>
      <c r="B97" t="s">
        <v>25</v>
      </c>
      <c r="C97" t="s">
        <v>14</v>
      </c>
      <c r="D97" t="s">
        <v>11</v>
      </c>
      <c r="E97" s="1">
        <v>46207</v>
      </c>
      <c r="F97">
        <v>65</v>
      </c>
      <c r="G97">
        <v>4.8</v>
      </c>
      <c r="H97">
        <v>472</v>
      </c>
      <c r="I97" t="s">
        <v>26</v>
      </c>
      <c r="J97" t="str">
        <f>_xlfn.XLOOKUP(tblOrders[[#This Row],[RestaurantID]],Restaurants!A97:A111,Restaurants!B97:B111,"Unknown")</f>
        <v>Unknown</v>
      </c>
      <c r="K97" t="str">
        <f>_xlfn.XLOOKUP(tblOrders[[#This Row],[RestaurantID]],Restaurants!A97:A111,Restaurants!C97:C111,"Unknown")</f>
        <v>Unknown</v>
      </c>
    </row>
    <row r="98" spans="1:11" x14ac:dyDescent="0.3">
      <c r="A98">
        <v>1097</v>
      </c>
      <c r="B98" t="s">
        <v>27</v>
      </c>
      <c r="C98" t="s">
        <v>17</v>
      </c>
      <c r="D98" t="s">
        <v>15</v>
      </c>
      <c r="E98" s="1">
        <v>46208</v>
      </c>
      <c r="F98">
        <v>31</v>
      </c>
      <c r="G98">
        <v>3.5</v>
      </c>
      <c r="H98">
        <v>555</v>
      </c>
      <c r="I98" t="s">
        <v>12</v>
      </c>
      <c r="J98" t="str">
        <f>_xlfn.XLOOKUP(tblOrders[[#This Row],[RestaurantID]],Restaurants!A98:A112,Restaurants!B98:B112,"Unknown")</f>
        <v>Unknown</v>
      </c>
      <c r="K98" t="str">
        <f>_xlfn.XLOOKUP(tblOrders[[#This Row],[RestaurantID]],Restaurants!A98:A112,Restaurants!C98:C112,"Unknown")</f>
        <v>Unknown</v>
      </c>
    </row>
    <row r="99" spans="1:11" x14ac:dyDescent="0.3">
      <c r="A99">
        <v>1098</v>
      </c>
      <c r="B99" t="s">
        <v>28</v>
      </c>
      <c r="C99" t="s">
        <v>20</v>
      </c>
      <c r="D99" t="s">
        <v>18</v>
      </c>
      <c r="E99" s="1">
        <v>46209</v>
      </c>
      <c r="F99">
        <v>38</v>
      </c>
      <c r="G99">
        <v>3.8</v>
      </c>
      <c r="H99">
        <v>638</v>
      </c>
      <c r="I99" t="s">
        <v>12</v>
      </c>
      <c r="J99" t="str">
        <f>_xlfn.XLOOKUP(tblOrders[[#This Row],[RestaurantID]],Restaurants!A99:A113,Restaurants!B99:B113,"Unknown")</f>
        <v>Unknown</v>
      </c>
      <c r="K99" t="str">
        <f>_xlfn.XLOOKUP(tblOrders[[#This Row],[RestaurantID]],Restaurants!A99:A113,Restaurants!C99:C113,"Unknown")</f>
        <v>Unknown</v>
      </c>
    </row>
    <row r="100" spans="1:11" x14ac:dyDescent="0.3">
      <c r="A100">
        <v>1099</v>
      </c>
      <c r="B100" t="s">
        <v>29</v>
      </c>
      <c r="C100" t="s">
        <v>10</v>
      </c>
      <c r="D100" t="s">
        <v>21</v>
      </c>
      <c r="E100" s="1">
        <v>46210</v>
      </c>
      <c r="F100">
        <v>45</v>
      </c>
      <c r="G100">
        <v>4.0999999999999996</v>
      </c>
      <c r="H100">
        <v>721</v>
      </c>
      <c r="I100" t="s">
        <v>12</v>
      </c>
      <c r="J100" t="str">
        <f>_xlfn.XLOOKUP(tblOrders[[#This Row],[RestaurantID]],Restaurants!A100:A114,Restaurants!B100:B114,"Unknown")</f>
        <v>Unknown</v>
      </c>
      <c r="K100" t="str">
        <f>_xlfn.XLOOKUP(tblOrders[[#This Row],[RestaurantID]],Restaurants!A100:A114,Restaurants!C100:C114,"Unknown")</f>
        <v>Unknown</v>
      </c>
    </row>
    <row r="101" spans="1:11" x14ac:dyDescent="0.3">
      <c r="A101">
        <v>1100</v>
      </c>
      <c r="B101" t="s">
        <v>30</v>
      </c>
      <c r="C101" t="s">
        <v>14</v>
      </c>
      <c r="D101" t="s">
        <v>23</v>
      </c>
      <c r="E101" s="1">
        <v>46211</v>
      </c>
      <c r="F101">
        <v>52</v>
      </c>
      <c r="G101">
        <v>4.4000000000000004</v>
      </c>
      <c r="H101">
        <v>804</v>
      </c>
      <c r="I101" t="s">
        <v>12</v>
      </c>
      <c r="J101" t="str">
        <f>_xlfn.XLOOKUP(tblOrders[[#This Row],[RestaurantID]],Restaurants!A101:A115,Restaurants!B101:B115,"Unknown")</f>
        <v>Unknown</v>
      </c>
      <c r="K101" t="str">
        <f>_xlfn.XLOOKUP(tblOrders[[#This Row],[RestaurantID]],Restaurants!A101:A115,Restaurants!C101:C115,"Unknown")</f>
        <v>Unknown</v>
      </c>
    </row>
  </sheetData>
  <conditionalFormatting sqref="H2:H101">
    <cfRule type="top10" dxfId="0" priority="1" percent="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3F9A-1EB8-452B-87AC-4FDF546E8FF8}">
  <dimension ref="A1:C16"/>
  <sheetViews>
    <sheetView workbookViewId="0">
      <selection activeCell="D12" sqref="D12"/>
    </sheetView>
  </sheetViews>
  <sheetFormatPr defaultRowHeight="14.4" x14ac:dyDescent="0.3"/>
  <cols>
    <col min="1" max="1" width="11.44140625" bestFit="1" customWidth="1"/>
    <col min="2" max="2" width="14.77734375" bestFit="1" customWidth="1"/>
  </cols>
  <sheetData>
    <row r="1" spans="1:3" x14ac:dyDescent="0.3">
      <c r="A1" s="2" t="s">
        <v>1</v>
      </c>
      <c r="B1" s="2" t="s">
        <v>36</v>
      </c>
      <c r="C1" s="2" t="s">
        <v>37</v>
      </c>
    </row>
    <row r="2" spans="1:3" x14ac:dyDescent="0.3">
      <c r="A2" t="s">
        <v>9</v>
      </c>
      <c r="B2" t="s">
        <v>38</v>
      </c>
      <c r="C2" t="s">
        <v>10</v>
      </c>
    </row>
    <row r="3" spans="1:3" x14ac:dyDescent="0.3">
      <c r="A3" t="s">
        <v>13</v>
      </c>
      <c r="B3" t="s">
        <v>39</v>
      </c>
      <c r="C3" t="s">
        <v>14</v>
      </c>
    </row>
    <row r="4" spans="1:3" x14ac:dyDescent="0.3">
      <c r="A4" t="s">
        <v>16</v>
      </c>
      <c r="B4" t="s">
        <v>40</v>
      </c>
      <c r="C4" t="s">
        <v>17</v>
      </c>
    </row>
    <row r="5" spans="1:3" x14ac:dyDescent="0.3">
      <c r="A5" t="s">
        <v>19</v>
      </c>
      <c r="B5" t="s">
        <v>41</v>
      </c>
      <c r="C5" t="s">
        <v>20</v>
      </c>
    </row>
    <row r="6" spans="1:3" x14ac:dyDescent="0.3">
      <c r="A6" t="s">
        <v>22</v>
      </c>
      <c r="B6" t="s">
        <v>42</v>
      </c>
      <c r="C6" t="s">
        <v>10</v>
      </c>
    </row>
    <row r="7" spans="1:3" x14ac:dyDescent="0.3">
      <c r="A7" t="s">
        <v>25</v>
      </c>
      <c r="B7" t="s">
        <v>43</v>
      </c>
      <c r="C7" t="s">
        <v>14</v>
      </c>
    </row>
    <row r="8" spans="1:3" x14ac:dyDescent="0.3">
      <c r="A8" t="s">
        <v>27</v>
      </c>
      <c r="B8" t="s">
        <v>44</v>
      </c>
      <c r="C8" t="s">
        <v>17</v>
      </c>
    </row>
    <row r="9" spans="1:3" x14ac:dyDescent="0.3">
      <c r="A9" t="s">
        <v>28</v>
      </c>
      <c r="B9" t="s">
        <v>45</v>
      </c>
      <c r="C9" t="s">
        <v>20</v>
      </c>
    </row>
    <row r="10" spans="1:3" x14ac:dyDescent="0.3">
      <c r="A10" t="s">
        <v>29</v>
      </c>
      <c r="B10" t="s">
        <v>46</v>
      </c>
      <c r="C10" t="s">
        <v>10</v>
      </c>
    </row>
    <row r="11" spans="1:3" x14ac:dyDescent="0.3">
      <c r="A11" t="s">
        <v>30</v>
      </c>
      <c r="B11" t="s">
        <v>47</v>
      </c>
      <c r="C11" t="s">
        <v>14</v>
      </c>
    </row>
    <row r="12" spans="1:3" x14ac:dyDescent="0.3">
      <c r="A12" t="s">
        <v>31</v>
      </c>
      <c r="B12" t="s">
        <v>48</v>
      </c>
      <c r="C12" t="s">
        <v>17</v>
      </c>
    </row>
    <row r="13" spans="1:3" x14ac:dyDescent="0.3">
      <c r="A13" t="s">
        <v>32</v>
      </c>
      <c r="B13" t="s">
        <v>49</v>
      </c>
      <c r="C13" t="s">
        <v>20</v>
      </c>
    </row>
    <row r="14" spans="1:3" x14ac:dyDescent="0.3">
      <c r="A14" t="s">
        <v>33</v>
      </c>
      <c r="B14" t="s">
        <v>50</v>
      </c>
      <c r="C14" t="s">
        <v>10</v>
      </c>
    </row>
    <row r="15" spans="1:3" x14ac:dyDescent="0.3">
      <c r="A15" t="s">
        <v>34</v>
      </c>
      <c r="B15" t="s">
        <v>51</v>
      </c>
      <c r="C15" t="s">
        <v>14</v>
      </c>
    </row>
    <row r="16" spans="1:3" x14ac:dyDescent="0.3">
      <c r="A16" t="s">
        <v>35</v>
      </c>
      <c r="B16" t="s">
        <v>52</v>
      </c>
      <c r="C16"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7ED2-5103-4F28-B484-0F0C2D3D9919}">
  <dimension ref="A1:H6"/>
  <sheetViews>
    <sheetView workbookViewId="0">
      <selection activeCell="C13" sqref="C13"/>
    </sheetView>
  </sheetViews>
  <sheetFormatPr defaultRowHeight="14.4" x14ac:dyDescent="0.3"/>
  <cols>
    <col min="2" max="2" width="16.109375" bestFit="1" customWidth="1"/>
    <col min="3" max="3" width="17.6640625" bestFit="1" customWidth="1"/>
    <col min="4" max="4" width="13.88671875" bestFit="1" customWidth="1"/>
    <col min="5" max="5" width="12.6640625" bestFit="1" customWidth="1"/>
    <col min="6" max="6" width="10.44140625" bestFit="1" customWidth="1"/>
    <col min="7" max="7" width="19.21875" bestFit="1" customWidth="1"/>
  </cols>
  <sheetData>
    <row r="1" spans="1:8" x14ac:dyDescent="0.3">
      <c r="A1" s="2" t="s">
        <v>3</v>
      </c>
      <c r="B1" s="2" t="s">
        <v>53</v>
      </c>
      <c r="C1" s="2" t="s">
        <v>54</v>
      </c>
      <c r="D1" s="2" t="s">
        <v>55</v>
      </c>
      <c r="E1" s="2" t="s">
        <v>56</v>
      </c>
      <c r="F1" s="2" t="s">
        <v>57</v>
      </c>
      <c r="G1" s="2" t="s">
        <v>58</v>
      </c>
      <c r="H1" s="2"/>
    </row>
    <row r="2" spans="1:8" x14ac:dyDescent="0.3">
      <c r="A2" t="s">
        <v>11</v>
      </c>
      <c r="B2">
        <f>AVERAGEIF(tblOrders[Zone],A2,tblOrders[DeliveryTime])</f>
        <v>42.6</v>
      </c>
      <c r="C2" cm="1">
        <f t="array" ref="C2">MEDIAN(_xlfn._xlws.FILTER(tblOrders[DeliveryTime],tblOrders[Zone]=A2))</f>
        <v>42.5</v>
      </c>
      <c r="D2" cm="1">
        <f t="array" ref="D2">_xlfn.STDEV.S(_xlfn._xlws.FILTER(tblOrders[DeliveryTime],tblOrders[Zone]=A2))</f>
        <v>12.326266348950249</v>
      </c>
      <c r="E2">
        <f>AVERAGEIF(tblOrders[Zone],A2,tblOrders[Revenue])</f>
        <v>676.4</v>
      </c>
      <c r="F2" cm="1">
        <f t="array" ref="F2">_xlfn.STDEV.S(_xlfn._xlws.FILTER(tblOrders[Revenue],tblOrders[Zone]=A2))</f>
        <v>182.32284841081113</v>
      </c>
      <c r="G2" t="str">
        <f>IF(B2&gt;$H$2,"Above Median","Normal")</f>
        <v>Above Median</v>
      </c>
    </row>
    <row r="3" spans="1:8" x14ac:dyDescent="0.3">
      <c r="A3" t="s">
        <v>15</v>
      </c>
      <c r="B3">
        <f>AVERAGEIF(tblOrders[Zone],A3,tblOrders[DeliveryTime])</f>
        <v>42.6</v>
      </c>
      <c r="C3" cm="1">
        <f t="array" ref="C3">MEDIAN(_xlfn._xlws.FILTER(tblOrders[DeliveryTime],tblOrders[Zone]=A3))</f>
        <v>41.5</v>
      </c>
      <c r="D3" cm="1">
        <f t="array" ref="D3">_xlfn.STDEV.S(_xlfn._xlws.FILTER(tblOrders[DeliveryTime],tblOrders[Zone]=A3))</f>
        <v>12.604928025431796</v>
      </c>
      <c r="E3">
        <f>AVERAGEIF(tblOrders[Zone],A3,tblOrders[Revenue])</f>
        <v>699.3</v>
      </c>
      <c r="F3" cm="1">
        <f t="array" ref="F3">_xlfn.STDEV.S(_xlfn._xlws.FILTER(tblOrders[Revenue],tblOrders[Zone]=A3))</f>
        <v>175.73248209468235</v>
      </c>
      <c r="G3" t="str">
        <f t="shared" ref="G3:G6" si="0">IF(B3&gt;$H$2,"Above Median","Normal")</f>
        <v>Above Median</v>
      </c>
    </row>
    <row r="4" spans="1:8" x14ac:dyDescent="0.3">
      <c r="A4" t="s">
        <v>18</v>
      </c>
      <c r="B4">
        <f>AVERAGEIF(tblOrders[Zone],A4,tblOrders[DeliveryTime])</f>
        <v>42.2</v>
      </c>
      <c r="C4" cm="1">
        <f t="array" ref="C4">MEDIAN(_xlfn._xlws.FILTER(tblOrders[DeliveryTime],tblOrders[Zone]=A4))</f>
        <v>42.5</v>
      </c>
      <c r="D4" cm="1">
        <f t="array" ref="D4">_xlfn.STDEV.S(_xlfn._xlws.FILTER(tblOrders[DeliveryTime],tblOrders[Zone]=A4))</f>
        <v>12.568130120938514</v>
      </c>
      <c r="E4">
        <f>AVERAGEIF(tblOrders[Zone],A4,tblOrders[Revenue])</f>
        <v>692.15</v>
      </c>
      <c r="F4" cm="1">
        <f t="array" ref="F4">_xlfn.STDEV.S(_xlfn._xlws.FILTER(tblOrders[Revenue],tblOrders[Zone]=A4))</f>
        <v>177.91046683803162</v>
      </c>
      <c r="G4" t="str">
        <f t="shared" si="0"/>
        <v>Above Median</v>
      </c>
    </row>
    <row r="5" spans="1:8" x14ac:dyDescent="0.3">
      <c r="A5" t="s">
        <v>21</v>
      </c>
      <c r="B5">
        <f>AVERAGEIF(tblOrders[Zone],A5,tblOrders[DeliveryTime])</f>
        <v>41.8</v>
      </c>
      <c r="C5" cm="1">
        <f t="array" ref="C5">MEDIAN(_xlfn._xlws.FILTER(tblOrders[DeliveryTime],tblOrders[Zone]=A5))</f>
        <v>42.5</v>
      </c>
      <c r="D5" cm="1">
        <f t="array" ref="D5">_xlfn.STDEV.S(_xlfn._xlws.FILTER(tblOrders[DeliveryTime],tblOrders[Zone]=A5))</f>
        <v>12.433401533136873</v>
      </c>
      <c r="E5">
        <f>AVERAGEIF(tblOrders[Zone],A5,tblOrders[Revenue])</f>
        <v>685</v>
      </c>
      <c r="F5" cm="1">
        <f t="array" ref="F5">_xlfn.STDEV.S(_xlfn._xlws.FILTER(tblOrders[Revenue],tblOrders[Zone]=A5))</f>
        <v>172.62706990260216</v>
      </c>
      <c r="G5" t="str">
        <f t="shared" si="0"/>
        <v>Above Median</v>
      </c>
    </row>
    <row r="6" spans="1:8" x14ac:dyDescent="0.3">
      <c r="A6" t="s">
        <v>23</v>
      </c>
      <c r="B6">
        <f>AVERAGEIF(tblOrders[Zone],A6,tblOrders[DeliveryTime])</f>
        <v>41.25</v>
      </c>
      <c r="C6" cm="1">
        <f t="array" ref="C6">MEDIAN(_xlfn._xlws.FILTER(tblOrders[DeliveryTime],tblOrders[Zone]=A6))</f>
        <v>41.5</v>
      </c>
      <c r="D6" cm="1">
        <f t="array" ref="D6">_xlfn.STDEV.S(_xlfn._xlws.FILTER(tblOrders[DeliveryTime],tblOrders[Zone]=A6))</f>
        <v>11.557066646588321</v>
      </c>
      <c r="E6">
        <f>AVERAGEIF(tblOrders[Zone],A6,tblOrders[Revenue])</f>
        <v>707.9</v>
      </c>
      <c r="F6" cm="1">
        <f t="array" ref="F6">_xlfn.STDEV.S(_xlfn._xlws.FILTER(tblOrders[Revenue],tblOrders[Zone]=A6))</f>
        <v>177.30939358260639</v>
      </c>
      <c r="G6" t="str">
        <f t="shared" si="0"/>
        <v>Above Median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EE02-24E8-4C60-A9FA-02A6C59DF739}">
  <dimension ref="A3:B8"/>
  <sheetViews>
    <sheetView workbookViewId="0">
      <selection activeCell="A3" sqref="A3:B8"/>
    </sheetView>
  </sheetViews>
  <sheetFormatPr defaultRowHeight="14.4" x14ac:dyDescent="0.3"/>
  <cols>
    <col min="1" max="1" width="12.44140625" bestFit="1" customWidth="1"/>
    <col min="2" max="2" width="14.77734375" bestFit="1" customWidth="1"/>
  </cols>
  <sheetData>
    <row r="3" spans="1:2" x14ac:dyDescent="0.3">
      <c r="A3" s="3" t="s">
        <v>59</v>
      </c>
      <c r="B3" t="s">
        <v>66</v>
      </c>
    </row>
    <row r="4" spans="1:2" x14ac:dyDescent="0.3">
      <c r="A4" s="4" t="s">
        <v>67</v>
      </c>
      <c r="B4">
        <v>100</v>
      </c>
    </row>
    <row r="5" spans="1:2" x14ac:dyDescent="0.3">
      <c r="A5" s="5" t="s">
        <v>63</v>
      </c>
      <c r="B5">
        <v>39</v>
      </c>
    </row>
    <row r="6" spans="1:2" x14ac:dyDescent="0.3">
      <c r="A6" s="5" t="s">
        <v>64</v>
      </c>
      <c r="B6">
        <v>31</v>
      </c>
    </row>
    <row r="7" spans="1:2" x14ac:dyDescent="0.3">
      <c r="A7" s="5" t="s">
        <v>65</v>
      </c>
      <c r="B7">
        <v>30</v>
      </c>
    </row>
    <row r="8" spans="1:2" x14ac:dyDescent="0.3">
      <c r="A8" s="4" t="s">
        <v>60</v>
      </c>
      <c r="B8">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65F4-D023-4404-A102-CCA44C2AEFEF}">
  <dimension ref="A3:G9"/>
  <sheetViews>
    <sheetView workbookViewId="0">
      <selection activeCell="A3" sqref="A3:G9"/>
    </sheetView>
  </sheetViews>
  <sheetFormatPr defaultRowHeight="14.4" x14ac:dyDescent="0.3"/>
  <cols>
    <col min="1" max="1" width="14.109375" bestFit="1" customWidth="1"/>
    <col min="2" max="2" width="15.5546875" bestFit="1" customWidth="1"/>
    <col min="3" max="6" width="6" bestFit="1" customWidth="1"/>
    <col min="7" max="7" width="10.5546875" bestFit="1" customWidth="1"/>
  </cols>
  <sheetData>
    <row r="3" spans="1:7" x14ac:dyDescent="0.3">
      <c r="A3" s="3" t="s">
        <v>62</v>
      </c>
      <c r="B3" s="3" t="s">
        <v>61</v>
      </c>
    </row>
    <row r="4" spans="1:7" x14ac:dyDescent="0.3">
      <c r="A4" s="3" t="s">
        <v>59</v>
      </c>
      <c r="B4" t="s">
        <v>11</v>
      </c>
      <c r="C4" t="s">
        <v>21</v>
      </c>
      <c r="D4" t="s">
        <v>15</v>
      </c>
      <c r="E4" t="s">
        <v>18</v>
      </c>
      <c r="F4" t="s">
        <v>23</v>
      </c>
      <c r="G4" t="s">
        <v>60</v>
      </c>
    </row>
    <row r="5" spans="1:7" x14ac:dyDescent="0.3">
      <c r="A5" s="4" t="s">
        <v>14</v>
      </c>
      <c r="B5">
        <v>5406</v>
      </c>
      <c r="C5">
        <v>4110</v>
      </c>
      <c r="D5">
        <v>4284</v>
      </c>
      <c r="F5">
        <v>4725</v>
      </c>
      <c r="G5">
        <v>18525</v>
      </c>
    </row>
    <row r="6" spans="1:7" x14ac:dyDescent="0.3">
      <c r="A6" s="4" t="s">
        <v>10</v>
      </c>
      <c r="B6">
        <v>3703</v>
      </c>
      <c r="C6">
        <v>4144</v>
      </c>
      <c r="E6">
        <v>4814</v>
      </c>
      <c r="F6">
        <v>6027</v>
      </c>
      <c r="G6">
        <v>18688</v>
      </c>
    </row>
    <row r="7" spans="1:7" x14ac:dyDescent="0.3">
      <c r="A7" s="4" t="s">
        <v>17</v>
      </c>
      <c r="B7">
        <v>4419</v>
      </c>
      <c r="D7">
        <v>4785</v>
      </c>
      <c r="E7">
        <v>4865</v>
      </c>
      <c r="F7">
        <v>3406</v>
      </c>
      <c r="G7">
        <v>17475</v>
      </c>
    </row>
    <row r="8" spans="1:7" x14ac:dyDescent="0.3">
      <c r="A8" s="4" t="s">
        <v>20</v>
      </c>
      <c r="C8">
        <v>5446</v>
      </c>
      <c r="D8">
        <v>4917</v>
      </c>
      <c r="E8">
        <v>4164</v>
      </c>
      <c r="G8">
        <v>14527</v>
      </c>
    </row>
    <row r="9" spans="1:7" x14ac:dyDescent="0.3">
      <c r="A9" s="4" t="s">
        <v>60</v>
      </c>
      <c r="B9">
        <v>13528</v>
      </c>
      <c r="C9">
        <v>13700</v>
      </c>
      <c r="D9">
        <v>13986</v>
      </c>
      <c r="E9">
        <v>13843</v>
      </c>
      <c r="F9">
        <v>14158</v>
      </c>
      <c r="G9">
        <v>69215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C8333-EBAC-4ED7-A2DC-73D40865D994}">
  <dimension ref="A1:J14"/>
  <sheetViews>
    <sheetView tabSelected="1" workbookViewId="0">
      <selection activeCell="A19" sqref="A19"/>
    </sheetView>
  </sheetViews>
  <sheetFormatPr defaultRowHeight="14.4" x14ac:dyDescent="0.3"/>
  <cols>
    <col min="1" max="1" width="15.109375" bestFit="1" customWidth="1"/>
    <col min="2" max="2" width="15.5546875" bestFit="1" customWidth="1"/>
    <col min="3" max="3" width="6" bestFit="1" customWidth="1"/>
    <col min="4" max="4" width="17.88671875" bestFit="1" customWidth="1"/>
    <col min="5" max="6" width="6" bestFit="1" customWidth="1"/>
    <col min="7" max="7" width="10.5546875" bestFit="1" customWidth="1"/>
    <col min="9" max="9" width="18.33203125" bestFit="1" customWidth="1"/>
    <col min="10" max="10" width="14.77734375" bestFit="1" customWidth="1"/>
  </cols>
  <sheetData>
    <row r="1" spans="1:10" ht="14.4" customHeight="1" x14ac:dyDescent="0.4">
      <c r="E1" s="6"/>
      <c r="F1" s="7" t="s">
        <v>68</v>
      </c>
      <c r="G1" s="13"/>
      <c r="H1" s="13"/>
      <c r="I1" s="13"/>
      <c r="J1" s="13"/>
    </row>
    <row r="2" spans="1:10" ht="14.4" customHeight="1" x14ac:dyDescent="0.35">
      <c r="G2" s="13"/>
      <c r="H2" s="13"/>
      <c r="I2" s="13"/>
      <c r="J2" s="13"/>
    </row>
    <row r="4" spans="1:10" ht="15.6" x14ac:dyDescent="0.3">
      <c r="A4" s="9" t="s">
        <v>69</v>
      </c>
      <c r="B4" s="9"/>
      <c r="D4" s="10" t="s">
        <v>70</v>
      </c>
      <c r="E4" s="10"/>
      <c r="F4" s="10"/>
      <c r="H4" s="8"/>
      <c r="I4" s="10" t="s">
        <v>71</v>
      </c>
    </row>
    <row r="5" spans="1:10" ht="15.6" x14ac:dyDescent="0.3">
      <c r="A5" s="9">
        <f>SUM(tblOrders[Revenue])</f>
        <v>69215</v>
      </c>
      <c r="B5" s="9"/>
      <c r="D5" s="11">
        <f>AVERAGE(tblOrders[Rating])</f>
        <v>4.2380000000000004</v>
      </c>
      <c r="E5" s="11"/>
      <c r="F5" s="11"/>
      <c r="I5" s="12">
        <f>COUNTIFS(tblOrders[Status],"Delivered",tblOrders[DeliveryTime],"&lt;="&amp;40)/ROWS(tblOrders[OrderID])</f>
        <v>0.35</v>
      </c>
    </row>
    <row r="8" spans="1:10" x14ac:dyDescent="0.3">
      <c r="A8" s="3" t="s">
        <v>62</v>
      </c>
      <c r="B8" s="3" t="s">
        <v>61</v>
      </c>
      <c r="I8" s="3" t="s">
        <v>59</v>
      </c>
      <c r="J8" t="s">
        <v>66</v>
      </c>
    </row>
    <row r="9" spans="1:10" x14ac:dyDescent="0.3">
      <c r="A9" s="3" t="s">
        <v>59</v>
      </c>
      <c r="B9" t="s">
        <v>11</v>
      </c>
      <c r="C9" t="s">
        <v>21</v>
      </c>
      <c r="D9" t="s">
        <v>15</v>
      </c>
      <c r="E9" t="s">
        <v>18</v>
      </c>
      <c r="F9" t="s">
        <v>23</v>
      </c>
      <c r="G9" t="s">
        <v>60</v>
      </c>
      <c r="I9" s="4" t="s">
        <v>67</v>
      </c>
      <c r="J9">
        <v>100</v>
      </c>
    </row>
    <row r="10" spans="1:10" x14ac:dyDescent="0.3">
      <c r="A10" s="4" t="s">
        <v>14</v>
      </c>
      <c r="B10">
        <v>5406</v>
      </c>
      <c r="C10">
        <v>4110</v>
      </c>
      <c r="D10">
        <v>4284</v>
      </c>
      <c r="F10">
        <v>4725</v>
      </c>
      <c r="G10">
        <v>18525</v>
      </c>
      <c r="I10" s="5" t="s">
        <v>63</v>
      </c>
      <c r="J10">
        <v>39</v>
      </c>
    </row>
    <row r="11" spans="1:10" x14ac:dyDescent="0.3">
      <c r="A11" s="4" t="s">
        <v>10</v>
      </c>
      <c r="B11">
        <v>3703</v>
      </c>
      <c r="C11">
        <v>4144</v>
      </c>
      <c r="E11">
        <v>4814</v>
      </c>
      <c r="F11">
        <v>6027</v>
      </c>
      <c r="G11">
        <v>18688</v>
      </c>
      <c r="I11" s="5" t="s">
        <v>64</v>
      </c>
      <c r="J11">
        <v>31</v>
      </c>
    </row>
    <row r="12" spans="1:10" x14ac:dyDescent="0.3">
      <c r="A12" s="4" t="s">
        <v>17</v>
      </c>
      <c r="B12">
        <v>4419</v>
      </c>
      <c r="D12">
        <v>4785</v>
      </c>
      <c r="E12">
        <v>4865</v>
      </c>
      <c r="F12">
        <v>3406</v>
      </c>
      <c r="G12">
        <v>17475</v>
      </c>
      <c r="I12" s="5" t="s">
        <v>65</v>
      </c>
      <c r="J12">
        <v>30</v>
      </c>
    </row>
    <row r="13" spans="1:10" x14ac:dyDescent="0.3">
      <c r="A13" s="4" t="s">
        <v>20</v>
      </c>
      <c r="C13">
        <v>5446</v>
      </c>
      <c r="D13">
        <v>4917</v>
      </c>
      <c r="E13">
        <v>4164</v>
      </c>
      <c r="G13">
        <v>14527</v>
      </c>
      <c r="I13" s="4" t="s">
        <v>60</v>
      </c>
      <c r="J13">
        <v>100</v>
      </c>
    </row>
    <row r="14" spans="1:10" x14ac:dyDescent="0.3">
      <c r="A14" s="4" t="s">
        <v>60</v>
      </c>
      <c r="B14">
        <v>13528</v>
      </c>
      <c r="C14">
        <v>13700</v>
      </c>
      <c r="D14">
        <v>13986</v>
      </c>
      <c r="E14">
        <v>13843</v>
      </c>
      <c r="F14">
        <v>14158</v>
      </c>
      <c r="G14">
        <v>69215</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Restaurants</vt:lpstr>
      <vt:lpstr>Zone Stats</vt:lpstr>
      <vt:lpstr>PivotTable 2</vt:lpstr>
      <vt:lpstr>Pivot -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2026-10-03T16:12:27Z</dcterms:created>
  <dcterms:modified xsi:type="dcterms:W3CDTF">2026-10-04T04:21:27Z</dcterms:modified>
</cp:coreProperties>
</file>