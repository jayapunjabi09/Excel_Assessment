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628556f48424466/Desktop/Jaya_M3-A1_Assessment/Section B - Practical Task/"/>
    </mc:Choice>
  </mc:AlternateContent>
  <xr:revisionPtr revIDLastSave="400" documentId="8_{E6C0535C-D558-49E3-9977-C105EB3A82D4}" xr6:coauthVersionLast="47" xr6:coauthVersionMax="47" xr10:uidLastSave="{AD654CF7-1EB0-48E4-A3BB-DC2D3CA84338}"/>
  <bookViews>
    <workbookView xWindow="-108" yWindow="-108" windowWidth="23256" windowHeight="12456" firstSheet="3" activeTab="8" xr2:uid="{EAD5B89F-C17F-424C-96F7-0A55AF80ADD1}"/>
  </bookViews>
  <sheets>
    <sheet name="Task1_Orders " sheetId="1" r:id="rId1"/>
    <sheet name="Task1_Premium" sheetId="3" r:id="rId2"/>
    <sheet name="Task2_Restaurants" sheetId="4" r:id="rId3"/>
    <sheet name="Task2_Orders" sheetId="5" r:id="rId4"/>
    <sheet name="Task 3 - Dataset" sheetId="6" r:id="rId5"/>
    <sheet name="Task3_Table1" sheetId="11" r:id="rId6"/>
    <sheet name="Task3_Table2" sheetId="8" r:id="rId7"/>
    <sheet name="Task 4 - Data" sheetId="12" r:id="rId8"/>
    <sheet name="Stats Summary" sheetId="13" r:id="rId9"/>
  </sheets>
  <definedNames>
    <definedName name="_xlnm._FilterDatabase" localSheetId="0" hidden="1">'Task1_Orders '!$A$1:$H$31</definedName>
    <definedName name="_xlcn.WorksheetConnection_Section_B_Starter.xlsxTable11" hidden="1">Table1[]</definedName>
    <definedName name="_xlnm.Criteria" localSheetId="0">'Task1_Orders '!$J$1:$L$2</definedName>
    <definedName name="_xlnm.Extract" localSheetId="0">Task1_Premium!$A$1:$H$1</definedName>
    <definedName name="NativeTimeline_OrderDate">#N/A</definedName>
    <definedName name="Slicer_Zone">#N/A</definedName>
  </definedNames>
  <calcPr calcId="191029"/>
  <pivotCaches>
    <pivotCache cacheId="0" r:id="rId10"/>
    <pivotCache cacheId="1" r:id="rId11"/>
  </pivotCaches>
  <extLst>
    <ext xmlns:x14="http://schemas.microsoft.com/office/spreadsheetml/2009/9/main" uri="{876F7934-8845-4945-9796-88D515C7AA90}">
      <x14:pivotCaches>
        <pivotCache cacheId="2"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ection_B_Starter.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2" i="12" l="1"/>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B10" i="13"/>
  <c r="B9" i="13"/>
  <c r="B8" i="13"/>
  <c r="B7" i="13"/>
  <c r="B6" i="13"/>
  <c r="B5" i="13"/>
  <c r="B4" i="13"/>
  <c r="B3" i="13"/>
  <c r="B2" i="13"/>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H6" i="12"/>
  <c r="H5" i="12"/>
  <c r="H4" i="12"/>
  <c r="H3" i="12"/>
  <c r="H2" i="12"/>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K3" i="5"/>
  <c r="K4" i="5"/>
  <c r="K5" i="5"/>
  <c r="K6" i="5"/>
  <c r="J2" i="5" a="1"/>
  <c r="J2" i="5" s="1"/>
  <c r="K2" i="5" s="1"/>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2" i="5"/>
  <c r="B12" i="13" l="1"/>
  <c r="B13" i="13" s="1"/>
  <c r="B14" i="1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AFD2DE-CBCC-4F67-BAC9-A3973C32B4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632AB97-4499-4C01-8087-B8D2A9C8A275}" name="WorksheetConnection_Section_B_Starter.xlsx!Table1" type="102" refreshedVersion="8" minRefreshableVersion="5">
    <extLst>
      <ext xmlns:x15="http://schemas.microsoft.com/office/spreadsheetml/2010/11/main" uri="{DE250136-89BD-433C-8126-D09CA5730AF9}">
        <x15:connection id="Table1" autoDelete="1">
          <x15:rangePr sourceName="_xlcn.WorksheetConnection_Section_B_Starter.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<sst xmlns="http://schemas.openxmlformats.org/spreadsheetml/2006/main" count="657" uniqueCount="114">
  <si>
    <t>OrderID</t>
  </si>
  <si>
    <t>CustomerName</t>
  </si>
  <si>
    <t>Cuisine</t>
  </si>
  <si>
    <t>OrderDate</t>
  </si>
  <si>
    <t>DeliveryTime</t>
  </si>
  <si>
    <t>Rating</t>
  </si>
  <si>
    <t>Revenue</t>
  </si>
  <si>
    <t>Status</t>
  </si>
  <si>
    <t>Jaya</t>
  </si>
  <si>
    <t>Indian</t>
  </si>
  <si>
    <t>Delivered</t>
  </si>
  <si>
    <t>Riya</t>
  </si>
  <si>
    <t>Chinese</t>
  </si>
  <si>
    <t>Neha</t>
  </si>
  <si>
    <t>Italian</t>
  </si>
  <si>
    <t>Cancelled</t>
  </si>
  <si>
    <t>Priya</t>
  </si>
  <si>
    <t>Mexican</t>
  </si>
  <si>
    <t>Anita</t>
  </si>
  <si>
    <t>Fast Food</t>
  </si>
  <si>
    <t>Kavya</t>
  </si>
  <si>
    <t>Simran</t>
  </si>
  <si>
    <t>Delayed</t>
  </si>
  <si>
    <t>Meera</t>
  </si>
  <si>
    <t>Pooja</t>
  </si>
  <si>
    <t>Anjali</t>
  </si>
  <si>
    <t>Rahul</t>
  </si>
  <si>
    <t>Aman</t>
  </si>
  <si>
    <t>Rohan</t>
  </si>
  <si>
    <t>Vivek</t>
  </si>
  <si>
    <t>Arjun</t>
  </si>
  <si>
    <t>Nisha</t>
  </si>
  <si>
    <t>Sneha</t>
  </si>
  <si>
    <t>Komal</t>
  </si>
  <si>
    <t>Ritu</t>
  </si>
  <si>
    <t>Isha</t>
  </si>
  <si>
    <t>Deepa</t>
  </si>
  <si>
    <t>Payal</t>
  </si>
  <si>
    <t>Shreya</t>
  </si>
  <si>
    <t>Tanya</t>
  </si>
  <si>
    <t>Divya</t>
  </si>
  <si>
    <t>Mansi</t>
  </si>
  <si>
    <t>Ayesha</t>
  </si>
  <si>
    <t>Kiran</t>
  </si>
  <si>
    <t>Shweta</t>
  </si>
  <si>
    <t>Manisha</t>
  </si>
  <si>
    <t>Zone</t>
  </si>
  <si>
    <t>Category</t>
  </si>
  <si>
    <t>R001</t>
  </si>
  <si>
    <t>Spice Hub</t>
  </si>
  <si>
    <t>Central</t>
  </si>
  <si>
    <t>R002</t>
  </si>
  <si>
    <t>Dragon House</t>
  </si>
  <si>
    <t>North</t>
  </si>
  <si>
    <t>R003</t>
  </si>
  <si>
    <t>Pasta Point</t>
  </si>
  <si>
    <t>South</t>
  </si>
  <si>
    <t>R004</t>
  </si>
  <si>
    <t>Taco Town</t>
  </si>
  <si>
    <t>West</t>
  </si>
  <si>
    <t>R005</t>
  </si>
  <si>
    <t>Burger King</t>
  </si>
  <si>
    <t>East</t>
  </si>
  <si>
    <t>R006</t>
  </si>
  <si>
    <t>Curry House</t>
  </si>
  <si>
    <t>R007</t>
  </si>
  <si>
    <t>Chow Mein</t>
  </si>
  <si>
    <t>R008</t>
  </si>
  <si>
    <t>Pizza Palace</t>
  </si>
  <si>
    <t>R009</t>
  </si>
  <si>
    <t>Taco Fiesta</t>
  </si>
  <si>
    <t>R010</t>
  </si>
  <si>
    <t>Food Express</t>
  </si>
  <si>
    <t>R011</t>
  </si>
  <si>
    <t>Punjabi Rasoi</t>
  </si>
  <si>
    <t>R012</t>
  </si>
  <si>
    <t>Chinese Bowl</t>
  </si>
  <si>
    <t>R013</t>
  </si>
  <si>
    <t>Italian Kitchen</t>
  </si>
  <si>
    <t>R014</t>
  </si>
  <si>
    <t>Mexican Grill</t>
  </si>
  <si>
    <t>R015</t>
  </si>
  <si>
    <t>Fast Bite</t>
  </si>
  <si>
    <t>Restaurant Name</t>
  </si>
  <si>
    <t>Restaurant ID</t>
  </si>
  <si>
    <t>Average Rating</t>
  </si>
  <si>
    <t>Customer Name</t>
  </si>
  <si>
    <t>Delivery Time</t>
  </si>
  <si>
    <t>Average Revenue</t>
  </si>
  <si>
    <t>Row Labels</t>
  </si>
  <si>
    <t>Grand Total</t>
  </si>
  <si>
    <t>Column Labels</t>
  </si>
  <si>
    <t>Jul</t>
  </si>
  <si>
    <t>Aug</t>
  </si>
  <si>
    <t>Count of OrderDate</t>
  </si>
  <si>
    <t>Qtr3</t>
  </si>
  <si>
    <t>OrderCount</t>
  </si>
  <si>
    <t>RevenuePerOrder</t>
  </si>
  <si>
    <t>Average of RevenuePerOrder</t>
  </si>
  <si>
    <t>Statistic</t>
  </si>
  <si>
    <t>Value</t>
  </si>
  <si>
    <t>Mean</t>
  </si>
  <si>
    <t>Median</t>
  </si>
  <si>
    <t>Mode</t>
  </si>
  <si>
    <t>Standard Deviation</t>
  </si>
  <si>
    <t>Variance</t>
  </si>
  <si>
    <t>Minimum</t>
  </si>
  <si>
    <t>Maximum</t>
  </si>
  <si>
    <t>25th Percentile</t>
  </si>
  <si>
    <t>75th Percentile</t>
  </si>
  <si>
    <t>IQR</t>
  </si>
  <si>
    <t>Upper Bound</t>
  </si>
  <si>
    <t>Lower Bound</t>
  </si>
  <si>
    <t>Outerlier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</si>
</sst>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0" fontId="3" fillId="0" borderId="0" xfId="0" applyFont="1"/>
  </cellXfs>
  <cellStyles count="1">
    <cellStyle name="Normal" xfId="0" builtinId="0"/>
  </cellStyles>
  <dxfs count="19">
    <dxf>
      <font>
        <b/>
        <i val="0"/>
        <strike val="0"/>
        <condense val="0"/>
        <extend val="0"/>
        <outline val="0"/>
        <shadow val="0"/>
        <u val="none"/>
        <vertAlign val="baseline"/>
        <sz val="11"/>
        <color theme="1"/>
        <name val="Aptos Narrow"/>
        <family val="2"/>
        <scheme val="minor"/>
      </font>
    </dxf>
    <dxf>
      <numFmt numFmtId="19" formatCode="dd/mm/yyyy"/>
    </dxf>
    <dxf>
      <font>
        <b/>
        <i val="0"/>
        <strike val="0"/>
        <condense val="0"/>
        <extend val="0"/>
        <outline val="0"/>
        <shadow val="0"/>
        <u val="none"/>
        <vertAlign val="baseline"/>
        <sz val="11"/>
        <color theme="1"/>
        <name val="Aptos Narrow"/>
        <family val="2"/>
        <scheme val="minor"/>
      </font>
    </dxf>
    <dxf>
      <font>
        <b/>
        <i val="0"/>
        <strike val="0"/>
        <condense val="0"/>
        <extend val="0"/>
        <outline val="0"/>
        <shadow val="0"/>
        <u val="none"/>
        <vertAlign val="baseline"/>
        <sz val="11"/>
        <color theme="1"/>
        <name val="Aptos Narrow"/>
        <family val="2"/>
        <scheme val="minor"/>
      </font>
    </dxf>
    <dxf>
      <numFmt numFmtId="19" formatCode="dd/mm/yyyy"/>
    </dxf>
    <dxf>
      <font>
        <b/>
        <i val="0"/>
        <strike val="0"/>
        <condense val="0"/>
        <extend val="0"/>
        <outline val="0"/>
        <shadow val="0"/>
        <u val="none"/>
        <vertAlign val="baseline"/>
        <sz val="11"/>
        <color theme="1"/>
        <name val="Aptos Narrow"/>
        <family val="2"/>
        <scheme val="minor"/>
      </font>
    </dxf>
    <dxf>
      <numFmt numFmtId="19" formatCode="dd/mm/yyyy"/>
    </dxf>
    <dxf>
      <fill>
        <patternFill>
          <bgColor theme="6"/>
        </patternFill>
      </fill>
    </dxf>
    <dxf>
      <fill>
        <patternFill>
          <bgColor theme="9"/>
        </patternFill>
      </fill>
    </dxf>
    <dxf>
      <fill>
        <patternFill>
          <bgColor rgb="FFFFFF00"/>
        </patternFill>
      </fill>
    </dxf>
    <dxf>
      <fill>
        <patternFill>
          <bgColor rgb="FFFF0000"/>
        </patternFill>
      </fill>
    </dxf>
    <dxf>
      <numFmt numFmtId="0" formatCode="General"/>
    </dxf>
    <dxf>
      <numFmt numFmtId="19" formatCode="dd/mm/yyyy"/>
    </dxf>
    <dxf>
      <numFmt numFmtId="0" formatCode="General"/>
    </dxf>
    <dxf>
      <numFmt numFmtId="0" formatCode="General"/>
    </dxf>
    <dxf>
      <numFmt numFmtId="19" formatCode="dd/mm/yyyy"/>
    </dxf>
    <dxf>
      <font>
        <b/>
        <sz val="11"/>
        <color theme="1"/>
      </font>
    </dxf>
    <dxf>
      <fill>
        <patternFill patternType="solid">
          <fgColor theme="0"/>
          <bgColor theme="1"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
      <fill>
        <patternFill>
          <bgColor theme="2" tint="-9.9948118533890809E-2"/>
        </patternFill>
      </fill>
    </dxf>
  </dxfs>
  <tableStyles count="2" defaultTableStyle="TableStyleMedium2" defaultPivotStyle="PivotStyleLight16">
    <tableStyle name="Slicer Style 1" pivot="0" table="0" count="1" xr9:uid="{D57797CA-B42C-4FB1-AB6A-220E291E356C}">
      <tableStyleElement type="wholeTable" dxfId="18"/>
    </tableStyle>
    <tableStyle name="Timeline Style 1" pivot="0" table="0" count="8" xr9:uid="{ECA8B1A3-F0B8-48CA-93AE-D2DD1C00A1CA}">
      <tableStyleElement type="wholeTable" dxfId="17"/>
      <tableStyleElement type="headerRow" dxfId="1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[Section_B_Starter.xlsx]Task3_Table1!PivotTable5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Total</a:t>
            </a:r>
            <a:r>
              <a:rPr lang="en-GB" baseline="0"/>
              <a:t> Revenue by Cuisine and region</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Task3_Table1!$B$3:$B$4</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Task3_Table1!$A$5:$A$10</c:f>
              <c:strCache>
                <c:ptCount val="5"/>
                <c:pt idx="0">
                  <c:v>Chinese</c:v>
                </c:pt>
                <c:pt idx="1">
                  <c:v>Fast Food</c:v>
                </c:pt>
                <c:pt idx="2">
                  <c:v>Indian</c:v>
                </c:pt>
                <c:pt idx="3">
                  <c:v>Italian</c:v>
                </c:pt>
                <c:pt idx="4">
                  <c:v>Mexican</c:v>
                </c:pt>
              </c:strCache>
            </c:strRef>
          </c:cat>
          <c:val>
            <c:numRef>
              <c:f>Task3_Table1!$B$5:$B$10</c:f>
              <c:numCache>
                <c:formatCode>General</c:formatCode>
                <c:ptCount val="5"/>
                <c:pt idx="2">
                  <c:v>633.63636363636363</c:v>
                </c:pt>
              </c:numCache>
            </c:numRef>
          </c:val>
          <c:extLst>
            <c:ext xmlns:c16="http://schemas.microsoft.com/office/drawing/2014/chart" uri="{C3380CC4-5D6E-409C-BE32-E72D297353CC}">
              <c16:uniqueId val="{00000000-09C6-493F-AACE-9B4C97DF9A10}"/>
            </c:ext>
          </c:extLst>
        </c:ser>
        <c:ser>
          <c:idx val="1"/>
          <c:order val="1"/>
          <c:tx>
            <c:strRef>
              <c:f>Task3_Table1!$C$3:$C$4</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Task3_Table1!$A$5:$A$10</c:f>
              <c:strCache>
                <c:ptCount val="5"/>
                <c:pt idx="0">
                  <c:v>Chinese</c:v>
                </c:pt>
                <c:pt idx="1">
                  <c:v>Fast Food</c:v>
                </c:pt>
                <c:pt idx="2">
                  <c:v>Indian</c:v>
                </c:pt>
                <c:pt idx="3">
                  <c:v>Italian</c:v>
                </c:pt>
                <c:pt idx="4">
                  <c:v>Mexican</c:v>
                </c:pt>
              </c:strCache>
            </c:strRef>
          </c:cat>
          <c:val>
            <c:numRef>
              <c:f>Task3_Table1!$C$5:$C$10</c:f>
              <c:numCache>
                <c:formatCode>General</c:formatCode>
                <c:ptCount val="5"/>
                <c:pt idx="1">
                  <c:v>620</c:v>
                </c:pt>
              </c:numCache>
            </c:numRef>
          </c:val>
          <c:extLst>
            <c:ext xmlns:c16="http://schemas.microsoft.com/office/drawing/2014/chart" uri="{C3380CC4-5D6E-409C-BE32-E72D297353CC}">
              <c16:uniqueId val="{0000000E-09C6-493F-AACE-9B4C97DF9A10}"/>
            </c:ext>
          </c:extLst>
        </c:ser>
        <c:ser>
          <c:idx val="2"/>
          <c:order val="2"/>
          <c:tx>
            <c:strRef>
              <c:f>Task3_Table1!$D$3:$D$4</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Task3_Table1!$A$5:$A$10</c:f>
              <c:strCache>
                <c:ptCount val="5"/>
                <c:pt idx="0">
                  <c:v>Chinese</c:v>
                </c:pt>
                <c:pt idx="1">
                  <c:v>Fast Food</c:v>
                </c:pt>
                <c:pt idx="2">
                  <c:v>Indian</c:v>
                </c:pt>
                <c:pt idx="3">
                  <c:v>Italian</c:v>
                </c:pt>
                <c:pt idx="4">
                  <c:v>Mexican</c:v>
                </c:pt>
              </c:strCache>
            </c:strRef>
          </c:cat>
          <c:val>
            <c:numRef>
              <c:f>Task3_Table1!$D$5:$D$10</c:f>
              <c:numCache>
                <c:formatCode>General</c:formatCode>
                <c:ptCount val="5"/>
                <c:pt idx="0">
                  <c:v>622</c:v>
                </c:pt>
              </c:numCache>
            </c:numRef>
          </c:val>
          <c:extLst>
            <c:ext xmlns:c16="http://schemas.microsoft.com/office/drawing/2014/chart" uri="{C3380CC4-5D6E-409C-BE32-E72D297353CC}">
              <c16:uniqueId val="{0000000F-09C6-493F-AACE-9B4C97DF9A10}"/>
            </c:ext>
          </c:extLst>
        </c:ser>
        <c:ser>
          <c:idx val="3"/>
          <c:order val="3"/>
          <c:tx>
            <c:strRef>
              <c:f>Task3_Table1!$E$3:$E$4</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Task3_Table1!$A$5:$A$10</c:f>
              <c:strCache>
                <c:ptCount val="5"/>
                <c:pt idx="0">
                  <c:v>Chinese</c:v>
                </c:pt>
                <c:pt idx="1">
                  <c:v>Fast Food</c:v>
                </c:pt>
                <c:pt idx="2">
                  <c:v>Indian</c:v>
                </c:pt>
                <c:pt idx="3">
                  <c:v>Italian</c:v>
                </c:pt>
                <c:pt idx="4">
                  <c:v>Mexican</c:v>
                </c:pt>
              </c:strCache>
            </c:strRef>
          </c:cat>
          <c:val>
            <c:numRef>
              <c:f>Task3_Table1!$E$5:$E$10</c:f>
              <c:numCache>
                <c:formatCode>General</c:formatCode>
                <c:ptCount val="5"/>
                <c:pt idx="3">
                  <c:v>782</c:v>
                </c:pt>
              </c:numCache>
            </c:numRef>
          </c:val>
          <c:extLst>
            <c:ext xmlns:c16="http://schemas.microsoft.com/office/drawing/2014/chart" uri="{C3380CC4-5D6E-409C-BE32-E72D297353CC}">
              <c16:uniqueId val="{00000010-09C6-493F-AACE-9B4C97DF9A10}"/>
            </c:ext>
          </c:extLst>
        </c:ser>
        <c:ser>
          <c:idx val="4"/>
          <c:order val="4"/>
          <c:tx>
            <c:strRef>
              <c:f>Task3_Table1!$F$3:$F$4</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Task3_Table1!$A$5:$A$10</c:f>
              <c:strCache>
                <c:ptCount val="5"/>
                <c:pt idx="0">
                  <c:v>Chinese</c:v>
                </c:pt>
                <c:pt idx="1">
                  <c:v>Fast Food</c:v>
                </c:pt>
                <c:pt idx="2">
                  <c:v>Indian</c:v>
                </c:pt>
                <c:pt idx="3">
                  <c:v>Italian</c:v>
                </c:pt>
                <c:pt idx="4">
                  <c:v>Mexican</c:v>
                </c:pt>
              </c:strCache>
            </c:strRef>
          </c:cat>
          <c:val>
            <c:numRef>
              <c:f>Task3_Table1!$F$5:$F$10</c:f>
              <c:numCache>
                <c:formatCode>General</c:formatCode>
                <c:ptCount val="5"/>
                <c:pt idx="4">
                  <c:v>745</c:v>
                </c:pt>
              </c:numCache>
            </c:numRef>
          </c:val>
          <c:extLst>
            <c:ext xmlns:c16="http://schemas.microsoft.com/office/drawing/2014/chart" uri="{C3380CC4-5D6E-409C-BE32-E72D297353CC}">
              <c16:uniqueId val="{00000011-09C6-493F-AACE-9B4C97DF9A10}"/>
            </c:ext>
          </c:extLst>
        </c:ser>
        <c:dLbls>
          <c:dLblPos val="outEnd"/>
          <c:showLegendKey val="0"/>
          <c:showVal val="1"/>
          <c:showCatName val="0"/>
          <c:showSerName val="0"/>
          <c:showPercent val="0"/>
          <c:showBubbleSize val="0"/>
        </c:dLbls>
        <c:gapWidth val="100"/>
        <c:overlap val="-24"/>
        <c:axId val="1320994864"/>
        <c:axId val="1387197616"/>
      </c:barChart>
      <c:catAx>
        <c:axId val="132099486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7197616"/>
        <c:crosses val="autoZero"/>
        <c:auto val="1"/>
        <c:lblAlgn val="ctr"/>
        <c:lblOffset val="100"/>
        <c:noMultiLvlLbl val="0"/>
      </c:catAx>
      <c:valAx>
        <c:axId val="1387197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099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243840</xdr:colOff>
      <xdr:row>0</xdr:row>
      <xdr:rowOff>118110</xdr:rowOff>
    </xdr:from>
    <xdr:to>
      <xdr:col>17</xdr:col>
      <xdr:colOff>38100</xdr:colOff>
      <xdr:row>22</xdr:row>
      <xdr:rowOff>0</xdr:rowOff>
    </xdr:to>
    <xdr:graphicFrame macro="">
      <xdr:nvGraphicFramePr>
        <xdr:cNvPr id="2" name="Chart 1">
          <a:extLst>
            <a:ext uri="{FF2B5EF4-FFF2-40B4-BE49-F238E27FC236}">
              <a16:creationId xmlns:a16="http://schemas.microsoft.com/office/drawing/2014/main" id="{E72176CF-3620-4C94-AE18-A54CC4EF4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304800</xdr:colOff>
      <xdr:row>10</xdr:row>
      <xdr:rowOff>175260</xdr:rowOff>
    </xdr:from>
    <xdr:to>
      <xdr:col>6</xdr:col>
      <xdr:colOff>815340</xdr:colOff>
      <xdr:row>20</xdr:row>
      <xdr:rowOff>106679</xdr:rowOff>
    </xdr:to>
    <mc:AlternateContent xmlns:mc="http://schemas.openxmlformats.org/markup-compatibility/2006" xmlns:a14="http://schemas.microsoft.com/office/drawing/2010/main">
      <mc:Choice Requires="a14">
        <xdr:graphicFrame macro="">
          <xdr:nvGraphicFramePr>
            <xdr:cNvPr id="3" name="Zone">
              <a:extLst>
                <a:ext uri="{FF2B5EF4-FFF2-40B4-BE49-F238E27FC236}">
                  <a16:creationId xmlns:a16="http://schemas.microsoft.com/office/drawing/2014/main" id="{6997285C-6375-575E-6A8C-E61898011233}"/>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3063240" y="2004060"/>
              <a:ext cx="1965960" cy="176021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601980</xdr:colOff>
      <xdr:row>2</xdr:row>
      <xdr:rowOff>7620</xdr:rowOff>
    </xdr:from>
    <xdr:to>
      <xdr:col>8</xdr:col>
      <xdr:colOff>281940</xdr:colOff>
      <xdr:row>9</xdr:row>
      <xdr:rowOff>99060</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507D363E-7A67-0D2B-4906-E293979098A6}"/>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613660" y="373380"/>
              <a:ext cx="3337560" cy="1371600"/>
            </a:xfrm>
            <a:prstGeom prst="rect">
              <a:avLst/>
            </a:prstGeom>
            <a:solidFill>
              <a:prstClr val="white"/>
            </a:solidFill>
            <a:ln w="1">
              <a:solidFill>
                <a:prstClr val="green"/>
              </a:solidFill>
            </a:ln>
          </xdr:spPr>
          <xdr:txBody>
            <a:bodyPr vertOverflow="clip" horzOverflow="clip"/>
            <a:lstStyle/>
            <a:p>
              <a:r>
                <a:rPr lang="en-AE"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6.771745486112" createdVersion="8" refreshedVersion="8" minRefreshableVersion="3" recordCount="51" xr:uid="{4F5AD3BD-C1ED-4686-B1FC-CAED60CB494C}">
  <cacheSource type="worksheet">
    <worksheetSource name="Table1"/>
  </cacheSource>
  <cacheFields count="11">
    <cacheField name="OrderDate" numFmtId="14">
      <sharedItems containsSemiMixedTypes="0" containsNonDate="0" containsDate="1" containsString="0" minDate="2026-07-01T00:00:00" maxDate="2026-08-21T00:00:00" count="51">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sharedItems>
      <fieldGroup par="8"/>
    </cacheField>
    <cacheField name="Cuisine" numFmtId="0">
      <sharedItems count="5">
        <s v="Indian"/>
        <s v="Chinese"/>
        <s v="Italian"/>
        <s v="Mexican"/>
        <s v="Fast Food"/>
      </sharedItems>
    </cacheField>
    <cacheField name="Zone" numFmtId="0">
      <sharedItems count="5">
        <s v="Central"/>
        <s v="North"/>
        <s v="South"/>
        <s v="West"/>
        <s v="East"/>
      </sharedItems>
    </cacheField>
    <cacheField name="Revenue" numFmtId="0">
      <sharedItems containsSemiMixedTypes="0" containsString="0" containsNumber="1" containsInteger="1" minValue="400" maxValue="950"/>
    </cacheField>
    <cacheField name="Delivery Time" numFmtId="0">
      <sharedItems containsSemiMixedTypes="0" containsString="0" containsNumber="1" containsInteger="1" minValue="21" maxValue="68"/>
    </cacheField>
    <cacheField name="Status" numFmtId="0">
      <sharedItems count="3">
        <s v="Delivered"/>
        <s v="Cancelled"/>
        <s v="Delayed"/>
      </sharedItems>
    </cacheField>
    <cacheField name="OrderCount" numFmtId="0">
      <sharedItems containsSemiMixedTypes="0" containsString="0" containsNumber="1" containsInteger="1" minValue="1" maxValue="1" count="1">
        <n v="1"/>
      </sharedItems>
    </cacheField>
    <cacheField name="Months (OrderDate)" numFmtId="0" databaseField="0">
      <fieldGroup base="0">
        <rangePr groupBy="months" startDate="2026-07-01T00:00:00" endDate="2026-08-21T00:00:00"/>
        <groupItems count="14">
          <s v="&lt;01/07/2026"/>
          <s v="Jan"/>
          <s v="Feb"/>
          <s v="Mar"/>
          <s v="Apr"/>
          <s v="May"/>
          <s v="Jun"/>
          <s v="Jul"/>
          <s v="Aug"/>
          <s v="Sep"/>
          <s v="Oct"/>
          <s v="Nov"/>
          <s v="Dec"/>
          <s v="&gt;21/08/2026"/>
        </groupItems>
      </fieldGroup>
    </cacheField>
    <cacheField name="Quarters (OrderDate)" numFmtId="0" databaseField="0">
      <fieldGroup base="0">
        <rangePr groupBy="quarters" startDate="2026-07-01T00:00:00" endDate="2026-08-21T00:00:00"/>
        <groupItems count="6">
          <s v="&lt;01/07/2026"/>
          <s v="Qtr1"/>
          <s v="Qtr2"/>
          <s v="Qtr3"/>
          <s v="Qtr4"/>
          <s v="&gt;21/08/2026"/>
        </groupItems>
      </fieldGroup>
    </cacheField>
    <cacheField name="Average Revenue per Order" numFmtId="0" formula="Revenue/OrderCount" databaseField="0"/>
    <cacheField name="Average Revenue per Orde" numFmtId="0" formula="Revenue/OrderCount" databaseField="0"/>
  </cacheFields>
  <extLst>
    <ext xmlns:x14="http://schemas.microsoft.com/office/spreadsheetml/2009/9/main" uri="{725AE2AE-9491-48be-B2B4-4EB974FC3084}">
      <x14:pivotCacheDefinition pivotCacheId="13636963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794281944443" backgroundQuery="1" createdVersion="8" refreshedVersion="8" minRefreshableVersion="3" recordCount="0" supportSubquery="1" supportAdvancedDrill="1" xr:uid="{4E82A863-0209-4FE1-88A5-681D374618A9}">
  <cacheSource type="external" connectionId="1"/>
  <cacheFields count="3">
    <cacheField name="[Table1].[Cuisine].[Cuisine]" caption="Cuisine" numFmtId="0" hierarchy="1" level="1">
      <sharedItems count="5">
        <s v="Chinese"/>
        <s v="Fast Food"/>
        <s v="Indian"/>
        <s v="Italian"/>
        <s v="Mexican"/>
      </sharedItems>
    </cacheField>
    <cacheField name="[Measures].[Average of RevenuePerOrder]" caption="Average of RevenuePerOrder" numFmtId="0" hierarchy="11" level="32767"/>
    <cacheField name="[Table1].[Zone].[Zone]" caption="Zone" numFmtId="0" hierarchy="2" level="1">
      <sharedItems count="5">
        <s v="Central"/>
        <s v="East"/>
        <s v="North"/>
        <s v="South"/>
        <s v="West"/>
      </sharedItems>
    </cacheField>
  </cacheFields>
  <cacheHierarchies count="12">
    <cacheHierarchy uniqueName="[Table1].[OrderDate]" caption="OrderDate" attribute="1" time="1" defaultMemberUniqueName="[Table1].[OrderDate].[All]" allUniqueName="[Table1].[OrderDate].[All]" dimensionUniqueName="[Table1]" displayFolder="" count="2" memberValueDatatype="7" unbalanced="0"/>
    <cacheHierarchy uniqueName="[Table1].[Cuisine]" caption="Cuisine" attribute="1" defaultMemberUniqueName="[Table1].[Cuisine].[All]" allUniqueName="[Table1].[Cuisine].[All]" dimensionUniqueName="[Table1]" displayFolder="" count="2" memberValueDatatype="130" unbalanced="0">
      <fieldsUsage count="2">
        <fieldUsage x="-1"/>
        <fieldUsage x="0"/>
      </fieldsUsage>
    </cacheHierarchy>
    <cacheHierarchy uniqueName="[Table1].[Zone]" caption="Zone" attribute="1" defaultMemberUniqueName="[Table1].[Zone].[All]" allUniqueName="[Table1].[Zone].[All]" dimensionUniqueName="[Table1]" displayFolder="" count="2" memberValueDatatype="130" unbalanced="0">
      <fieldsUsage count="2">
        <fieldUsage x="-1"/>
        <fieldUsage x="2"/>
      </fieldsUsage>
    </cacheHierarchy>
    <cacheHierarchy uniqueName="[Table1].[Revenue]" caption="Revenue" attribute="1" defaultMemberUniqueName="[Table1].[Revenue].[All]" allUniqueName="[Table1].[Revenue].[All]" dimensionUniqueName="[Table1]" displayFolder="" count="2" memberValueDatatype="20" unbalanced="0"/>
    <cacheHierarchy uniqueName="[Table1].[Delivery Time]" caption="Delivery Time" attribute="1" defaultMemberUniqueName="[Table1].[Delivery Time].[All]" allUniqueName="[Table1].[Delivery Time].[All]" dimensionUniqueName="[Table1]" displayFolder="" count="2" memberValueDatatype="20" unbalanced="0"/>
    <cacheHierarchy uniqueName="[Table1].[Status]" caption="Status" attribute="1" defaultMemberUniqueName="[Table1].[Status].[All]" allUniqueName="[Table1].[Status].[All]" dimensionUniqueName="[Table1]" displayFolder="" count="2" memberValueDatatype="130" unbalanced="0"/>
    <cacheHierarchy uniqueName="[Table1].[OrderCount]" caption="OrderCount" attribute="1" defaultMemberUniqueName="[Table1].[OrderCount].[All]" allUniqueName="[Table1].[OrderCount].[All]" dimensionUniqueName="[Table1]" displayFolder="" count="2" memberValueDatatype="20" unbalanced="0"/>
    <cacheHierarchy uniqueName="[Table1].[RevenuePerOrder]" caption="RevenuePerOrder" attribute="1" defaultMemberUniqueName="[Table1].[RevenuePerOrder].[All]" allUniqueName="[Table1].[RevenuePerOrder].[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PerOrder]" caption="Sum of RevenuePerOrder" measure="1" displayFolder="" measureGroup="Table1" count="0" hidden="1">
      <extLst>
        <ext xmlns:x15="http://schemas.microsoft.com/office/spreadsheetml/2010/11/main" uri="{B97F6D7D-B522-45F9-BDA1-12C45D357490}">
          <x15:cacheHierarchy aggregatedColumn="7"/>
        </ext>
      </extLst>
    </cacheHierarchy>
    <cacheHierarchy uniqueName="[Measures].[Average of RevenuePerOrder]" caption="Average of RevenuePerOrder"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96.788720601849" backgroundQuery="1" createdVersion="3" refreshedVersion="8" minRefreshableVersion="3" recordCount="0" supportSubquery="1" supportAdvancedDrill="1" xr:uid="{00BE7472-3C84-4F9E-BBC1-FD31110725A7}">
  <cacheSource type="external" connectionId="1">
    <extLst>
      <ext xmlns:x14="http://schemas.microsoft.com/office/spreadsheetml/2009/9/main" uri="{F057638F-6D5F-4e77-A914-E7F072B9BCA8}">
        <x14:sourceConnection name="ThisWorkbookDataModel"/>
      </ext>
    </extLst>
  </cacheSource>
  <cacheFields count="0"/>
  <cacheHierarchies count="12">
    <cacheHierarchy uniqueName="[Table1].[OrderDate]" caption="OrderDate" attribute="1" time="1" defaultMemberUniqueName="[Table1].[OrderDate].[All]" allUniqueName="[Table1].[OrderDate].[All]" dimensionUniqueName="[Table1]" displayFolder="" count="0" memberValueDatatype="7" unbalanced="0"/>
    <cacheHierarchy uniqueName="[Table1].[Cuisine]" caption="Cuisine" attribute="1" defaultMemberUniqueName="[Table1].[Cuisine].[All]" allUniqueName="[Table1].[Cuisine].[All]" dimensionUniqueName="[Table1]" displayFolder="" count="0" memberValueDatatype="130" unbalanced="0"/>
    <cacheHierarchy uniqueName="[Table1].[Zone]" caption="Zone" attribute="1" defaultMemberUniqueName="[Table1].[Zone].[All]" allUniqueName="[Table1].[Zone].[All]" dimensionUniqueName="[Table1]" displayFolder="" count="2" memberValueDatatype="130" unbalanced="0"/>
    <cacheHierarchy uniqueName="[Table1].[Revenue]" caption="Revenue" attribute="1" defaultMemberUniqueName="[Table1].[Revenue].[All]" allUniqueName="[Table1].[Revenue].[All]" dimensionUniqueName="[Table1]" displayFolder="" count="0" memberValueDatatype="20" unbalanced="0"/>
    <cacheHierarchy uniqueName="[Table1].[Delivery Time]" caption="Delivery Time" attribute="1" defaultMemberUniqueName="[Table1].[Delivery Time].[All]" allUniqueName="[Table1].[Delivery Time].[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Count]" caption="OrderCount" attribute="1" defaultMemberUniqueName="[Table1].[OrderCount].[All]" allUniqueName="[Table1].[OrderCount].[All]" dimensionUniqueName="[Table1]" displayFolder="" count="0" memberValueDatatype="20" unbalanced="0"/>
    <cacheHierarchy uniqueName="[Table1].[RevenuePerOrder]" caption="RevenuePerOrder" attribute="1" defaultMemberUniqueName="[Table1].[RevenuePerOrder].[All]" allUniqueName="[Table1].[RevenuePerOrder].[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RevenuePerOrder]" caption="Sum of RevenuePerOrder" measure="1" displayFolder="" measureGroup="Table1" count="0" hidden="1">
      <extLst>
        <ext xmlns:x15="http://schemas.microsoft.com/office/spreadsheetml/2010/11/main" uri="{B97F6D7D-B522-45F9-BDA1-12C45D357490}">
          <x15:cacheHierarchy aggregatedColumn="7"/>
        </ext>
      </extLst>
    </cacheHierarchy>
    <cacheHierarchy uniqueName="[Measures].[Average of RevenuePerOrder]" caption="Average of RevenuePerOrder" measure="1" displayFolder="" measureGroup="Table1"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32135814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x v="0"/>
    <x v="0"/>
    <n v="650"/>
    <n v="25"/>
    <x v="0"/>
    <x v="0"/>
  </r>
  <r>
    <x v="1"/>
    <x v="1"/>
    <x v="1"/>
    <n v="450"/>
    <n v="42"/>
    <x v="0"/>
    <x v="0"/>
  </r>
  <r>
    <x v="2"/>
    <x v="2"/>
    <x v="2"/>
    <n v="720"/>
    <n v="35"/>
    <x v="0"/>
    <x v="0"/>
  </r>
  <r>
    <x v="3"/>
    <x v="3"/>
    <x v="3"/>
    <n v="850"/>
    <n v="30"/>
    <x v="0"/>
    <x v="0"/>
  </r>
  <r>
    <x v="4"/>
    <x v="4"/>
    <x v="4"/>
    <n v="550"/>
    <n v="48"/>
    <x v="0"/>
    <x v="0"/>
  </r>
  <r>
    <x v="5"/>
    <x v="0"/>
    <x v="0"/>
    <n v="400"/>
    <n v="22"/>
    <x v="1"/>
    <x v="0"/>
  </r>
  <r>
    <x v="6"/>
    <x v="1"/>
    <x v="1"/>
    <n v="900"/>
    <n v="65"/>
    <x v="0"/>
    <x v="0"/>
  </r>
  <r>
    <x v="7"/>
    <x v="2"/>
    <x v="2"/>
    <n v="620"/>
    <n v="35"/>
    <x v="0"/>
    <x v="0"/>
  </r>
  <r>
    <x v="8"/>
    <x v="3"/>
    <x v="3"/>
    <n v="750"/>
    <n v="28"/>
    <x v="0"/>
    <x v="0"/>
  </r>
  <r>
    <x v="9"/>
    <x v="4"/>
    <x v="4"/>
    <n v="480"/>
    <n v="52"/>
    <x v="1"/>
    <x v="0"/>
  </r>
  <r>
    <x v="10"/>
    <x v="0"/>
    <x v="0"/>
    <n v="680"/>
    <n v="27"/>
    <x v="0"/>
    <x v="0"/>
  </r>
  <r>
    <x v="11"/>
    <x v="1"/>
    <x v="1"/>
    <n v="560"/>
    <n v="44"/>
    <x v="0"/>
    <x v="0"/>
  </r>
  <r>
    <x v="12"/>
    <x v="2"/>
    <x v="2"/>
    <n v="800"/>
    <n v="58"/>
    <x v="2"/>
    <x v="0"/>
  </r>
  <r>
    <x v="13"/>
    <x v="3"/>
    <x v="3"/>
    <n v="920"/>
    <n v="31"/>
    <x v="0"/>
    <x v="0"/>
  </r>
  <r>
    <x v="14"/>
    <x v="4"/>
    <x v="4"/>
    <n v="610"/>
    <n v="24"/>
    <x v="0"/>
    <x v="0"/>
  </r>
  <r>
    <x v="15"/>
    <x v="0"/>
    <x v="0"/>
    <n v="530"/>
    <n v="39"/>
    <x v="0"/>
    <x v="0"/>
  </r>
  <r>
    <x v="16"/>
    <x v="1"/>
    <x v="1"/>
    <n v="700"/>
    <n v="46"/>
    <x v="0"/>
    <x v="0"/>
  </r>
  <r>
    <x v="17"/>
    <x v="2"/>
    <x v="2"/>
    <n v="850"/>
    <n v="29"/>
    <x v="0"/>
    <x v="0"/>
  </r>
  <r>
    <x v="18"/>
    <x v="3"/>
    <x v="3"/>
    <n v="450"/>
    <n v="61"/>
    <x v="2"/>
    <x v="0"/>
  </r>
  <r>
    <x v="19"/>
    <x v="4"/>
    <x v="4"/>
    <n v="670"/>
    <n v="33"/>
    <x v="0"/>
    <x v="0"/>
  </r>
  <r>
    <x v="20"/>
    <x v="0"/>
    <x v="0"/>
    <n v="780"/>
    <n v="26"/>
    <x v="0"/>
    <x v="0"/>
  </r>
  <r>
    <x v="21"/>
    <x v="1"/>
    <x v="1"/>
    <n v="590"/>
    <n v="50"/>
    <x v="1"/>
    <x v="0"/>
  </r>
  <r>
    <x v="22"/>
    <x v="2"/>
    <x v="2"/>
    <n v="730"/>
    <n v="37"/>
    <x v="0"/>
    <x v="0"/>
  </r>
  <r>
    <x v="23"/>
    <x v="3"/>
    <x v="3"/>
    <n v="640"/>
    <n v="45"/>
    <x v="0"/>
    <x v="0"/>
  </r>
  <r>
    <x v="24"/>
    <x v="4"/>
    <x v="4"/>
    <n v="950"/>
    <n v="68"/>
    <x v="2"/>
    <x v="0"/>
  </r>
  <r>
    <x v="25"/>
    <x v="0"/>
    <x v="0"/>
    <n v="520"/>
    <n v="21"/>
    <x v="0"/>
    <x v="0"/>
  </r>
  <r>
    <x v="26"/>
    <x v="1"/>
    <x v="1"/>
    <n v="610"/>
    <n v="34"/>
    <x v="0"/>
    <x v="0"/>
  </r>
  <r>
    <x v="27"/>
    <x v="2"/>
    <x v="2"/>
    <n v="880"/>
    <n v="49"/>
    <x v="0"/>
    <x v="0"/>
  </r>
  <r>
    <x v="28"/>
    <x v="3"/>
    <x v="3"/>
    <n v="760"/>
    <n v="27"/>
    <x v="0"/>
    <x v="0"/>
  </r>
  <r>
    <x v="29"/>
    <x v="4"/>
    <x v="4"/>
    <n v="540"/>
    <n v="43"/>
    <x v="0"/>
    <x v="0"/>
  </r>
  <r>
    <x v="30"/>
    <x v="0"/>
    <x v="0"/>
    <n v="620"/>
    <n v="32"/>
    <x v="0"/>
    <x v="0"/>
  </r>
  <r>
    <x v="31"/>
    <x v="1"/>
    <x v="1"/>
    <n v="570"/>
    <n v="41"/>
    <x v="0"/>
    <x v="0"/>
  </r>
  <r>
    <x v="32"/>
    <x v="2"/>
    <x v="2"/>
    <n v="810"/>
    <n v="36"/>
    <x v="0"/>
    <x v="0"/>
  </r>
  <r>
    <x v="33"/>
    <x v="3"/>
    <x v="3"/>
    <n v="690"/>
    <n v="47"/>
    <x v="0"/>
    <x v="0"/>
  </r>
  <r>
    <x v="34"/>
    <x v="4"/>
    <x v="4"/>
    <n v="580"/>
    <n v="29"/>
    <x v="0"/>
    <x v="0"/>
  </r>
  <r>
    <x v="35"/>
    <x v="0"/>
    <x v="0"/>
    <n v="730"/>
    <n v="24"/>
    <x v="0"/>
    <x v="0"/>
  </r>
  <r>
    <x v="36"/>
    <x v="1"/>
    <x v="1"/>
    <n v="640"/>
    <n v="55"/>
    <x v="2"/>
    <x v="0"/>
  </r>
  <r>
    <x v="37"/>
    <x v="2"/>
    <x v="2"/>
    <n v="770"/>
    <n v="33"/>
    <x v="0"/>
    <x v="0"/>
  </r>
  <r>
    <x v="38"/>
    <x v="3"/>
    <x v="3"/>
    <n v="820"/>
    <n v="40"/>
    <x v="0"/>
    <x v="0"/>
  </r>
  <r>
    <x v="39"/>
    <x v="4"/>
    <x v="4"/>
    <n v="600"/>
    <n v="38"/>
    <x v="0"/>
    <x v="0"/>
  </r>
  <r>
    <x v="40"/>
    <x v="0"/>
    <x v="0"/>
    <n v="690"/>
    <n v="31"/>
    <x v="0"/>
    <x v="0"/>
  </r>
  <r>
    <x v="41"/>
    <x v="1"/>
    <x v="1"/>
    <n v="520"/>
    <n v="28"/>
    <x v="0"/>
    <x v="0"/>
  </r>
  <r>
    <x v="42"/>
    <x v="2"/>
    <x v="2"/>
    <n v="900"/>
    <n v="62"/>
    <x v="2"/>
    <x v="0"/>
  </r>
  <r>
    <x v="43"/>
    <x v="3"/>
    <x v="3"/>
    <n v="710"/>
    <n v="34"/>
    <x v="0"/>
    <x v="0"/>
  </r>
  <r>
    <x v="44"/>
    <x v="4"/>
    <x v="4"/>
    <n v="630"/>
    <n v="26"/>
    <x v="0"/>
    <x v="0"/>
  </r>
  <r>
    <x v="45"/>
    <x v="0"/>
    <x v="0"/>
    <n v="560"/>
    <n v="45"/>
    <x v="0"/>
    <x v="0"/>
  </r>
  <r>
    <x v="46"/>
    <x v="1"/>
    <x v="1"/>
    <n v="680"/>
    <n v="37"/>
    <x v="0"/>
    <x v="0"/>
  </r>
  <r>
    <x v="47"/>
    <x v="2"/>
    <x v="2"/>
    <n v="740"/>
    <n v="30"/>
    <x v="0"/>
    <x v="0"/>
  </r>
  <r>
    <x v="48"/>
    <x v="3"/>
    <x v="3"/>
    <n v="860"/>
    <n v="51"/>
    <x v="1"/>
    <x v="0"/>
  </r>
  <r>
    <x v="49"/>
    <x v="4"/>
    <x v="4"/>
    <n v="590"/>
    <n v="23"/>
    <x v="0"/>
    <x v="0"/>
  </r>
  <r>
    <x v="50"/>
    <x v="0"/>
    <x v="0"/>
    <n v="810"/>
    <n v="4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372E4-FA7B-49F0-AD9A-1F56E8D4EF8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G10" firstHeaderRow="1" firstDataRow="2" firstDataCol="1"/>
  <pivotFields count="3">
    <pivotField axis="axisRow" allDrilled="1" showAll="0" dataSourceSort="1" defaultAttributeDrillState="1">
      <items count="6">
        <item x="0"/>
        <item x="1"/>
        <item x="2"/>
        <item x="3"/>
        <item x="4"/>
        <item t="default"/>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colFields count="1">
    <field x="2"/>
  </colFields>
  <colItems count="6">
    <i>
      <x/>
    </i>
    <i>
      <x v="1"/>
    </i>
    <i>
      <x v="2"/>
    </i>
    <i>
      <x v="3"/>
    </i>
    <i>
      <x v="4"/>
    </i>
    <i t="grand">
      <x/>
    </i>
  </colItems>
  <dataFields count="1">
    <dataField name="Average of RevenuePerOrder" fld="1" subtotal="average" baseField="0" baseItem="0"/>
  </dataFields>
  <chartFormats count="5">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s>
  <pivotHierarchies count="12">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ection_B_Starter.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271480-DC9C-48CD-B94E-753B11BF3F5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11">
    <pivotField dataField="1" numFmtId="14" showAll="0">
      <items count="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dragToRow="0" dragToCol="0" dragToPage="0" showAll="0" defaultSubtotal="0"/>
    <pivotField dragToRow="0" dragToCol="0" dragToPage="0" showAll="0" defaultSubtotal="0"/>
  </pivotFields>
  <rowFields count="2">
    <field x="8"/>
    <field x="7"/>
  </rowFields>
  <rowItems count="4">
    <i>
      <x v="3"/>
    </i>
    <i r="1">
      <x v="7"/>
    </i>
    <i r="1">
      <x v="8"/>
    </i>
    <i t="grand">
      <x/>
    </i>
  </rowItems>
  <colItems count="1">
    <i/>
  </colItems>
  <dataFields count="1">
    <dataField name="Count of Order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076AB6E1-16B2-4BF1-B0C7-4F5C4AC6ED5B}" sourceName="[Table1].[Zone]">
  <pivotTables>
    <pivotTable tabId="11" name="PivotTable5"/>
  </pivotTables>
  <data>
    <olap pivotCacheId="1321358149">
      <levels count="2">
        <level uniqueName="[Table1].[Zone].[(All)]" sourceCaption="(All)" count="0"/>
        <level uniqueName="[Table1].[Zone].[Zone]" sourceCaption="Zone" count="5">
          <ranges>
            <range startItem="0">
              <i n="[Table1].[Zone].&amp;[Central]" c="Central"/>
              <i n="[Table1].[Zone].&amp;[East]" c="East"/>
              <i n="[Table1].[Zone].&amp;[North]" c="North"/>
              <i n="[Table1].[Zone].&amp;[South]" c="South"/>
              <i n="[Table1].[Zone].&amp;[West]" c="West"/>
            </range>
          </ranges>
        </level>
      </levels>
      <selections count="1">
        <selection n="[Table1].[Zo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30777568-16A4-4EFA-9C70-6680EE4B8C6C}" cache="Slicer_Zone" caption="Zone" level="1"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590F4A-6F4D-41AB-AF34-2E2192BFFA1F}" name="Table2" displayName="Table2" ref="A1:H31" totalsRowShown="0" headerRowDxfId="5">
  <autoFilter ref="A1:H31" xr:uid="{2A590F4A-6F4D-41AB-AF34-2E2192BFFA1F}"/>
  <tableColumns count="8">
    <tableColumn id="1" xr3:uid="{19D6F5B1-5C69-4270-A5A4-43A122DBADBE}" name="OrderID"/>
    <tableColumn id="2" xr3:uid="{1F398C58-4D63-490F-8565-EBD40CE55822}" name="CustomerName"/>
    <tableColumn id="3" xr3:uid="{1CCE6E7D-4E85-45E4-ADD6-D2E092CA414A}" name="Cuisine"/>
    <tableColumn id="4" xr3:uid="{7E0B480E-CAD3-449C-83C8-FEB95A11173D}" name="OrderDate" dataDxfId="6"/>
    <tableColumn id="5" xr3:uid="{2E211728-00B6-4CA3-AF43-32D6F91D39B4}" name="Delivery Time"/>
    <tableColumn id="6" xr3:uid="{4D1F2316-88D9-4D84-BF04-2C8DC0D40396}" name="Rating"/>
    <tableColumn id="7" xr3:uid="{F27EDDB8-0C03-40B7-86CC-7B2848CB460E}" name="Revenue"/>
    <tableColumn id="8" xr3:uid="{0B1C8765-EF51-48BE-A6D1-194B9D50DA1D}"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1F59625-1E68-4EAE-809D-4F0C146358A5}" name="Table3" displayName="Table3" ref="A1:H20" totalsRowShown="0" headerRowDxfId="3">
  <autoFilter ref="A1:H20" xr:uid="{B1F59625-1E68-4EAE-809D-4F0C146358A5}"/>
  <tableColumns count="8">
    <tableColumn id="1" xr3:uid="{4810AA46-B69F-4A34-BE9A-F75E2A751D35}" name="OrderID"/>
    <tableColumn id="2" xr3:uid="{F2B4FC0B-4EEE-4611-8F46-0576DC22EEED}" name="CustomerName"/>
    <tableColumn id="3" xr3:uid="{D68F675C-ACE3-4748-B675-C6EC2442A058}" name="Cuisine"/>
    <tableColumn id="4" xr3:uid="{25F6D8EF-E838-4404-B686-182E5FFF9F61}" name="OrderDate" dataDxfId="4"/>
    <tableColumn id="5" xr3:uid="{6D8AFF4D-9596-49FD-B0DD-1159D720AA7B}" name="DeliveryTime"/>
    <tableColumn id="6" xr3:uid="{727FCABC-850C-4515-90AC-CCC858451D07}" name="Rating"/>
    <tableColumn id="7" xr3:uid="{5A900BF5-6C5C-41B8-AFE4-701A88C0D0DD}" name="Revenue"/>
    <tableColumn id="8" xr3:uid="{C9BBEE48-7FAF-4A5B-843B-B40A42FC1D88}" name="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D84F2A-F9A6-4CDA-ADD5-02DBAFF5E8E7}" name="Table4" displayName="Table4" ref="A1:E16" totalsRowShown="0" headerRowDxfId="2">
  <autoFilter ref="A1:E16" xr:uid="{12D84F2A-F9A6-4CDA-ADD5-02DBAFF5E8E7}"/>
  <tableColumns count="5">
    <tableColumn id="1" xr3:uid="{BC7D265C-22A4-487E-A4DC-3E028EC43164}" name="Restaurant ID"/>
    <tableColumn id="2" xr3:uid="{1A8B4BF5-285F-4B59-8BA5-F26B1F848B3F}" name="Restaurant Name"/>
    <tableColumn id="3" xr3:uid="{45364E70-FE31-4B40-95AE-138961FEE55B}" name="Zone"/>
    <tableColumn id="4" xr3:uid="{B732BA24-888E-4F44-9711-17FB24E145D3}" name="Category"/>
    <tableColumn id="5" xr3:uid="{459AFC88-D416-432A-86B3-9D93D8ACCDCF}" name="Average Rat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384839E-3473-4072-8906-7364732F535E}" name="Table5" displayName="Table5" ref="A1:H31" totalsRowShown="0" headerRowDxfId="0">
  <autoFilter ref="A1:H31" xr:uid="{0384839E-3473-4072-8906-7364732F535E}"/>
  <tableColumns count="8">
    <tableColumn id="1" xr3:uid="{BBF1F686-CCE9-47ED-B93D-5CD5431D7D5C}" name="OrderID"/>
    <tableColumn id="2" xr3:uid="{C1ED750E-20B2-48B6-9913-858FDC8E4069}" name="Restaurant ID"/>
    <tableColumn id="3" xr3:uid="{99A926C7-7497-4998-9FA2-ABB5B5E76230}" name="OrderDate" dataDxfId="1"/>
    <tableColumn id="4" xr3:uid="{CC2F8E0F-D0CD-4296-BD09-35DAC237B6E1}" name="Customer Name"/>
    <tableColumn id="5" xr3:uid="{59884A91-72D6-4755-8941-70CE3F4305BC}" name="Revenue"/>
    <tableColumn id="6" xr3:uid="{C37F2B45-6C61-4ADF-B22B-B5E3341F84BB}" name="Rating"/>
    <tableColumn id="7" xr3:uid="{006EAEC6-AF9F-4904-940A-CB4D900A8D9D}" name="Restaurant Name">
      <calculatedColumnFormula>_xlfn.XLOOKUP(B2,Task2_Restaurants!A2:A16,Task2_Restaurants!B2:B16,"Not Listed")</calculatedColumnFormula>
    </tableColumn>
    <tableColumn id="8" xr3:uid="{6D29E00E-3DA3-4AB6-B400-88F73D354E8E}" name="Zone">
      <calculatedColumnFormula>IFERROR(INDEX(Task2_Restaurants!C2:C16,MATCH(B2,Task2_Restaurants!A2:A16,0)),"Not Listed")</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D01C8A-5FD3-4BD4-9CCA-E1498FFC844A}" name="Table1" displayName="Table1" ref="A1:H52" totalsRowShown="0">
  <autoFilter ref="A1:H52" xr:uid="{E5D01C8A-5FD3-4BD4-9CCA-E1498FFC844A}"/>
  <tableColumns count="8">
    <tableColumn id="1" xr3:uid="{E00B85DB-598F-48E0-9635-902177A103FB}" name="OrderDate" dataDxfId="12"/>
    <tableColumn id="2" xr3:uid="{A582EC4A-08A9-490F-946E-D32EF58B5923}" name="Cuisine"/>
    <tableColumn id="3" xr3:uid="{0F7E40E2-F309-43D5-A6D0-BEEA4C090E14}" name="Zone"/>
    <tableColumn id="4" xr3:uid="{29905C1C-5436-4C8A-A822-90012FFF1576}" name="Revenue"/>
    <tableColumn id="5" xr3:uid="{933EEF78-7FAA-4862-9620-FD4FA05B84F6}" name="Delivery Time"/>
    <tableColumn id="6" xr3:uid="{54275CF8-47D8-41B9-A718-91D33F83E8BF}" name="Status"/>
    <tableColumn id="7" xr3:uid="{CECBE542-698C-4623-B433-64BADD8CD4BB}" name="OrderCount"/>
    <tableColumn id="8" xr3:uid="{A89B98C1-EBE8-4829-AEAF-B3ED378C043D}" name="RevenuePerOrder" dataDxfId="11">
      <calculatedColumnFormula>D2/G2</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4636FE-0C33-4AF4-913D-F16B56AD3C2A}" name="Table13" displayName="Table13" ref="A1:J52" totalsRowShown="0">
  <autoFilter ref="A1:J52" xr:uid="{E5D01C8A-5FD3-4BD4-9CCA-E1498FFC844A}"/>
  <tableColumns count="10">
    <tableColumn id="1" xr3:uid="{B8CD5CEA-D885-4793-B4BF-DF6D9D798772}" name="OrderDate" dataDxfId="15"/>
    <tableColumn id="2" xr3:uid="{BD03E33B-9F04-47C2-B94C-9207E24494DE}" name="Cuisine"/>
    <tableColumn id="3" xr3:uid="{1C17983D-793F-4EA3-A36C-38766254BC3A}" name="Zone"/>
    <tableColumn id="4" xr3:uid="{5F187C74-61FB-4B1E-936C-03BF85C8C08A}" name="Revenue"/>
    <tableColumn id="5" xr3:uid="{9C0DD3A9-98B5-4487-A4B4-9BE7673205CF}" name="Delivery Time"/>
    <tableColumn id="6" xr3:uid="{71DDD030-08C3-4C3F-A60C-4ACA9BEA5561}" name="Status"/>
    <tableColumn id="7" xr3:uid="{4E3781C6-42B9-4818-9FB4-2D58D5799068}" name="OrderCount"/>
    <tableColumn id="8" xr3:uid="{3D09AB78-73F4-4FC2-9F06-47D38835471B}" name="RevenuePerOrder" dataDxfId="14">
      <calculatedColumnFormula>D2/G2</calculatedColumnFormula>
    </tableColumn>
    <tableColumn id="9" xr3:uid="{B2190B2A-40A7-43BB-B9A8-A2A799602435}" name="Rating"/>
    <tableColumn id="10" xr3:uid="{0CBD70BD-8292-41E6-B91C-B0C5F915B13C}" name="Outerlier Flag" dataDxfId="13">
      <calculatedColumnFormula>IF(OR(E2&lt;'Stats Summary'!$B$13,E2&gt;'Stats Summary'!$B$14),"Yes","No")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98E681AF-70F1-4A78-AF1B-B74AB4A2231E}" sourceName="OrderDate">
  <pivotTables>
    <pivotTable tabId="8" name="PivotTable2"/>
  </pivotTables>
  <state minimalRefreshVersion="6" lastRefreshVersion="6" pivotCacheId="1363696327"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040305D3-DD32-4C79-9488-47F190078D09}" cache="NativeTimeline_OrderDate" caption="OrderDate" level="2" selectionLevel="2" scrollPosition="2026-01-01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C9262-3539-4CB7-AA85-6AA6D90D75AF}">
  <dimension ref="A1:H31"/>
  <sheetViews>
    <sheetView workbookViewId="0">
      <selection sqref="A1:H31"/>
    </sheetView>
  </sheetViews>
  <sheetFormatPr defaultRowHeight="14.4" x14ac:dyDescent="0.3"/>
  <cols>
    <col min="1" max="1" width="9.44140625" customWidth="1"/>
    <col min="2" max="2" width="16" customWidth="1"/>
    <col min="3" max="3" width="9.109375" customWidth="1"/>
    <col min="4" max="4" width="11.5546875" customWidth="1"/>
    <col min="5" max="5" width="14.109375" customWidth="1"/>
    <col min="7" max="7" width="9.88671875" customWidth="1"/>
    <col min="11" max="11" width="13.88671875" bestFit="1" customWidth="1"/>
    <col min="13" max="13" width="10.33203125" bestFit="1" customWidth="1"/>
    <col min="14" max="14" width="11.21875" bestFit="1" customWidth="1"/>
  </cols>
  <sheetData>
    <row r="1" spans="1:8" x14ac:dyDescent="0.3">
      <c r="A1" s="3" t="s">
        <v>0</v>
      </c>
      <c r="B1" s="3" t="s">
        <v>1</v>
      </c>
      <c r="C1" s="3" t="s">
        <v>2</v>
      </c>
      <c r="D1" s="3" t="s">
        <v>3</v>
      </c>
      <c r="E1" s="3" t="s">
        <v>87</v>
      </c>
      <c r="F1" s="3" t="s">
        <v>5</v>
      </c>
      <c r="G1" s="3" t="s">
        <v>6</v>
      </c>
      <c r="H1" s="3" t="s">
        <v>7</v>
      </c>
    </row>
    <row r="2" spans="1:8" x14ac:dyDescent="0.3">
      <c r="A2">
        <v>1001</v>
      </c>
      <c r="B2" t="s">
        <v>8</v>
      </c>
      <c r="C2" t="s">
        <v>9</v>
      </c>
      <c r="D2" s="1">
        <v>46266</v>
      </c>
      <c r="E2">
        <v>25</v>
      </c>
      <c r="F2">
        <v>5</v>
      </c>
      <c r="G2">
        <v>650</v>
      </c>
      <c r="H2" t="s">
        <v>10</v>
      </c>
    </row>
    <row r="3" spans="1:8" x14ac:dyDescent="0.3">
      <c r="A3">
        <v>1002</v>
      </c>
      <c r="B3" t="s">
        <v>11</v>
      </c>
      <c r="C3" t="s">
        <v>12</v>
      </c>
      <c r="D3" s="1">
        <v>46267</v>
      </c>
      <c r="E3">
        <v>42</v>
      </c>
      <c r="F3">
        <v>4</v>
      </c>
      <c r="G3">
        <v>450</v>
      </c>
      <c r="H3" t="s">
        <v>10</v>
      </c>
    </row>
    <row r="4" spans="1:8" x14ac:dyDescent="0.3">
      <c r="A4">
        <v>1003</v>
      </c>
      <c r="B4" t="s">
        <v>13</v>
      </c>
      <c r="C4" t="s">
        <v>14</v>
      </c>
      <c r="D4" s="1">
        <v>46268</v>
      </c>
      <c r="E4">
        <v>55</v>
      </c>
      <c r="F4">
        <v>3</v>
      </c>
      <c r="G4">
        <v>720</v>
      </c>
      <c r="H4" t="s">
        <v>15</v>
      </c>
    </row>
    <row r="5" spans="1:8" x14ac:dyDescent="0.3">
      <c r="A5">
        <v>1004</v>
      </c>
      <c r="B5" t="s">
        <v>16</v>
      </c>
      <c r="C5" t="s">
        <v>17</v>
      </c>
      <c r="D5" s="1">
        <v>46269</v>
      </c>
      <c r="E5">
        <v>30</v>
      </c>
      <c r="F5">
        <v>5</v>
      </c>
      <c r="G5">
        <v>850</v>
      </c>
      <c r="H5" t="s">
        <v>10</v>
      </c>
    </row>
    <row r="6" spans="1:8" x14ac:dyDescent="0.3">
      <c r="A6">
        <v>1005</v>
      </c>
      <c r="B6" t="s">
        <v>18</v>
      </c>
      <c r="C6" t="s">
        <v>19</v>
      </c>
      <c r="D6" s="1">
        <v>46270</v>
      </c>
      <c r="E6">
        <v>48</v>
      </c>
      <c r="F6">
        <v>4</v>
      </c>
      <c r="G6">
        <v>550</v>
      </c>
      <c r="H6" t="s">
        <v>10</v>
      </c>
    </row>
    <row r="7" spans="1:8" x14ac:dyDescent="0.3">
      <c r="A7">
        <v>1006</v>
      </c>
      <c r="B7" t="s">
        <v>20</v>
      </c>
      <c r="C7" t="s">
        <v>9</v>
      </c>
      <c r="D7" s="1">
        <v>46271</v>
      </c>
      <c r="E7">
        <v>22</v>
      </c>
      <c r="F7">
        <v>5</v>
      </c>
      <c r="G7">
        <v>400</v>
      </c>
      <c r="H7" t="s">
        <v>10</v>
      </c>
    </row>
    <row r="8" spans="1:8" x14ac:dyDescent="0.3">
      <c r="A8">
        <v>1007</v>
      </c>
      <c r="B8" t="s">
        <v>21</v>
      </c>
      <c r="C8" t="s">
        <v>12</v>
      </c>
      <c r="D8" s="1">
        <v>46272</v>
      </c>
      <c r="E8">
        <v>65</v>
      </c>
      <c r="F8">
        <v>2</v>
      </c>
      <c r="G8">
        <v>900</v>
      </c>
      <c r="H8" t="s">
        <v>22</v>
      </c>
    </row>
    <row r="9" spans="1:8" x14ac:dyDescent="0.3">
      <c r="A9">
        <v>1008</v>
      </c>
      <c r="B9" t="s">
        <v>23</v>
      </c>
      <c r="C9" t="s">
        <v>14</v>
      </c>
      <c r="D9" s="1">
        <v>46273</v>
      </c>
      <c r="E9">
        <v>35</v>
      </c>
      <c r="F9">
        <v>4</v>
      </c>
      <c r="G9">
        <v>620</v>
      </c>
      <c r="H9" t="s">
        <v>10</v>
      </c>
    </row>
    <row r="10" spans="1:8" x14ac:dyDescent="0.3">
      <c r="A10">
        <v>1009</v>
      </c>
      <c r="B10" t="s">
        <v>24</v>
      </c>
      <c r="C10" t="s">
        <v>17</v>
      </c>
      <c r="D10" s="1">
        <v>46274</v>
      </c>
      <c r="E10">
        <v>28</v>
      </c>
      <c r="F10">
        <v>5</v>
      </c>
      <c r="G10">
        <v>750</v>
      </c>
      <c r="H10" t="s">
        <v>10</v>
      </c>
    </row>
    <row r="11" spans="1:8" x14ac:dyDescent="0.3">
      <c r="A11">
        <v>1010</v>
      </c>
      <c r="B11" t="s">
        <v>25</v>
      </c>
      <c r="C11" t="s">
        <v>19</v>
      </c>
      <c r="D11" s="1">
        <v>46275</v>
      </c>
      <c r="E11">
        <v>52</v>
      </c>
      <c r="F11">
        <v>3</v>
      </c>
      <c r="G11">
        <v>480</v>
      </c>
      <c r="H11" t="s">
        <v>15</v>
      </c>
    </row>
    <row r="12" spans="1:8" x14ac:dyDescent="0.3">
      <c r="A12">
        <v>1011</v>
      </c>
      <c r="B12" t="s">
        <v>26</v>
      </c>
      <c r="C12" t="s">
        <v>9</v>
      </c>
      <c r="D12" s="1">
        <v>46276</v>
      </c>
      <c r="E12">
        <v>27</v>
      </c>
      <c r="F12">
        <v>4</v>
      </c>
      <c r="G12">
        <v>680</v>
      </c>
      <c r="H12" t="s">
        <v>10</v>
      </c>
    </row>
    <row r="13" spans="1:8" x14ac:dyDescent="0.3">
      <c r="A13">
        <v>1012</v>
      </c>
      <c r="B13" t="s">
        <v>27</v>
      </c>
      <c r="C13" t="s">
        <v>12</v>
      </c>
      <c r="D13" s="1">
        <v>46277</v>
      </c>
      <c r="E13">
        <v>44</v>
      </c>
      <c r="F13">
        <v>5</v>
      </c>
      <c r="G13">
        <v>560</v>
      </c>
      <c r="H13" t="s">
        <v>10</v>
      </c>
    </row>
    <row r="14" spans="1:8" x14ac:dyDescent="0.3">
      <c r="A14">
        <v>1013</v>
      </c>
      <c r="B14" t="s">
        <v>28</v>
      </c>
      <c r="C14" t="s">
        <v>14</v>
      </c>
      <c r="D14" s="1">
        <v>46278</v>
      </c>
      <c r="E14">
        <v>58</v>
      </c>
      <c r="F14">
        <v>2</v>
      </c>
      <c r="G14">
        <v>800</v>
      </c>
      <c r="H14" t="s">
        <v>22</v>
      </c>
    </row>
    <row r="15" spans="1:8" x14ac:dyDescent="0.3">
      <c r="A15">
        <v>1014</v>
      </c>
      <c r="B15" t="s">
        <v>29</v>
      </c>
      <c r="C15" t="s">
        <v>17</v>
      </c>
      <c r="D15" s="1">
        <v>46279</v>
      </c>
      <c r="E15">
        <v>31</v>
      </c>
      <c r="F15">
        <v>4</v>
      </c>
      <c r="G15">
        <v>920</v>
      </c>
      <c r="H15" t="s">
        <v>10</v>
      </c>
    </row>
    <row r="16" spans="1:8" x14ac:dyDescent="0.3">
      <c r="A16">
        <v>1015</v>
      </c>
      <c r="B16" t="s">
        <v>30</v>
      </c>
      <c r="C16" t="s">
        <v>19</v>
      </c>
      <c r="D16" s="1">
        <v>46280</v>
      </c>
      <c r="E16">
        <v>24</v>
      </c>
      <c r="F16">
        <v>5</v>
      </c>
      <c r="G16">
        <v>610</v>
      </c>
      <c r="H16" t="s">
        <v>10</v>
      </c>
    </row>
    <row r="17" spans="1:8" x14ac:dyDescent="0.3">
      <c r="A17">
        <v>1016</v>
      </c>
      <c r="B17" t="s">
        <v>31</v>
      </c>
      <c r="C17" t="s">
        <v>9</v>
      </c>
      <c r="D17" s="1">
        <v>46281</v>
      </c>
      <c r="E17">
        <v>39</v>
      </c>
      <c r="F17">
        <v>4</v>
      </c>
      <c r="G17">
        <v>530</v>
      </c>
      <c r="H17" t="s">
        <v>10</v>
      </c>
    </row>
    <row r="18" spans="1:8" x14ac:dyDescent="0.3">
      <c r="A18">
        <v>1017</v>
      </c>
      <c r="B18" t="s">
        <v>32</v>
      </c>
      <c r="C18" t="s">
        <v>12</v>
      </c>
      <c r="D18" s="1">
        <v>46282</v>
      </c>
      <c r="E18">
        <v>46</v>
      </c>
      <c r="F18">
        <v>3</v>
      </c>
      <c r="G18">
        <v>700</v>
      </c>
      <c r="H18" t="s">
        <v>10</v>
      </c>
    </row>
    <row r="19" spans="1:8" x14ac:dyDescent="0.3">
      <c r="A19">
        <v>1018</v>
      </c>
      <c r="B19" t="s">
        <v>33</v>
      </c>
      <c r="C19" t="s">
        <v>14</v>
      </c>
      <c r="D19" s="1">
        <v>46283</v>
      </c>
      <c r="E19">
        <v>29</v>
      </c>
      <c r="F19">
        <v>5</v>
      </c>
      <c r="G19">
        <v>850</v>
      </c>
      <c r="H19" t="s">
        <v>10</v>
      </c>
    </row>
    <row r="20" spans="1:8" x14ac:dyDescent="0.3">
      <c r="A20">
        <v>1019</v>
      </c>
      <c r="B20" t="s">
        <v>34</v>
      </c>
      <c r="C20" t="s">
        <v>17</v>
      </c>
      <c r="D20" s="1">
        <v>46284</v>
      </c>
      <c r="E20">
        <v>61</v>
      </c>
      <c r="F20">
        <v>2</v>
      </c>
      <c r="G20">
        <v>450</v>
      </c>
      <c r="H20" t="s">
        <v>22</v>
      </c>
    </row>
    <row r="21" spans="1:8" x14ac:dyDescent="0.3">
      <c r="A21">
        <v>1020</v>
      </c>
      <c r="B21" t="s">
        <v>35</v>
      </c>
      <c r="C21" t="s">
        <v>19</v>
      </c>
      <c r="D21" s="1">
        <v>46285</v>
      </c>
      <c r="E21">
        <v>33</v>
      </c>
      <c r="F21">
        <v>4</v>
      </c>
      <c r="G21">
        <v>670</v>
      </c>
      <c r="H21" t="s">
        <v>10</v>
      </c>
    </row>
    <row r="22" spans="1:8" x14ac:dyDescent="0.3">
      <c r="A22">
        <v>1021</v>
      </c>
      <c r="B22" t="s">
        <v>36</v>
      </c>
      <c r="C22" t="s">
        <v>9</v>
      </c>
      <c r="D22" s="1">
        <v>46286</v>
      </c>
      <c r="E22">
        <v>26</v>
      </c>
      <c r="F22">
        <v>5</v>
      </c>
      <c r="G22">
        <v>780</v>
      </c>
      <c r="H22" t="s">
        <v>10</v>
      </c>
    </row>
    <row r="23" spans="1:8" x14ac:dyDescent="0.3">
      <c r="A23">
        <v>1022</v>
      </c>
      <c r="B23" t="s">
        <v>37</v>
      </c>
      <c r="C23" t="s">
        <v>12</v>
      </c>
      <c r="D23" s="1">
        <v>46287</v>
      </c>
      <c r="E23">
        <v>50</v>
      </c>
      <c r="F23">
        <v>3</v>
      </c>
      <c r="G23">
        <v>590</v>
      </c>
      <c r="H23" t="s">
        <v>15</v>
      </c>
    </row>
    <row r="24" spans="1:8" x14ac:dyDescent="0.3">
      <c r="A24">
        <v>1023</v>
      </c>
      <c r="B24" t="s">
        <v>38</v>
      </c>
      <c r="C24" t="s">
        <v>14</v>
      </c>
      <c r="D24" s="1">
        <v>46288</v>
      </c>
      <c r="E24">
        <v>37</v>
      </c>
      <c r="F24">
        <v>4</v>
      </c>
      <c r="G24">
        <v>730</v>
      </c>
      <c r="H24" t="s">
        <v>10</v>
      </c>
    </row>
    <row r="25" spans="1:8" x14ac:dyDescent="0.3">
      <c r="A25">
        <v>1024</v>
      </c>
      <c r="B25" t="s">
        <v>39</v>
      </c>
      <c r="C25" t="s">
        <v>17</v>
      </c>
      <c r="D25" s="1">
        <v>46289</v>
      </c>
      <c r="E25">
        <v>45</v>
      </c>
      <c r="F25">
        <v>5</v>
      </c>
      <c r="G25">
        <v>640</v>
      </c>
      <c r="H25" t="s">
        <v>10</v>
      </c>
    </row>
    <row r="26" spans="1:8" x14ac:dyDescent="0.3">
      <c r="A26">
        <v>1025</v>
      </c>
      <c r="B26" t="s">
        <v>40</v>
      </c>
      <c r="C26" t="s">
        <v>19</v>
      </c>
      <c r="D26" s="1">
        <v>46290</v>
      </c>
      <c r="E26">
        <v>68</v>
      </c>
      <c r="F26">
        <v>2</v>
      </c>
      <c r="G26">
        <v>950</v>
      </c>
      <c r="H26" t="s">
        <v>22</v>
      </c>
    </row>
    <row r="27" spans="1:8" x14ac:dyDescent="0.3">
      <c r="A27">
        <v>1026</v>
      </c>
      <c r="B27" t="s">
        <v>41</v>
      </c>
      <c r="C27" t="s">
        <v>9</v>
      </c>
      <c r="D27" s="1">
        <v>46291</v>
      </c>
      <c r="E27">
        <v>21</v>
      </c>
      <c r="F27">
        <v>5</v>
      </c>
      <c r="G27">
        <v>520</v>
      </c>
      <c r="H27" t="s">
        <v>10</v>
      </c>
    </row>
    <row r="28" spans="1:8" x14ac:dyDescent="0.3">
      <c r="A28">
        <v>1027</v>
      </c>
      <c r="B28" t="s">
        <v>42</v>
      </c>
      <c r="C28" t="s">
        <v>12</v>
      </c>
      <c r="D28" s="1">
        <v>46292</v>
      </c>
      <c r="E28">
        <v>34</v>
      </c>
      <c r="F28">
        <v>4</v>
      </c>
      <c r="G28">
        <v>610</v>
      </c>
      <c r="H28" t="s">
        <v>10</v>
      </c>
    </row>
    <row r="29" spans="1:8" x14ac:dyDescent="0.3">
      <c r="A29">
        <v>1028</v>
      </c>
      <c r="B29" t="s">
        <v>43</v>
      </c>
      <c r="C29" t="s">
        <v>14</v>
      </c>
      <c r="D29" s="1">
        <v>46293</v>
      </c>
      <c r="E29">
        <v>49</v>
      </c>
      <c r="F29">
        <v>3</v>
      </c>
      <c r="G29">
        <v>880</v>
      </c>
      <c r="H29" t="s">
        <v>10</v>
      </c>
    </row>
    <row r="30" spans="1:8" x14ac:dyDescent="0.3">
      <c r="A30">
        <v>1029</v>
      </c>
      <c r="B30" t="s">
        <v>44</v>
      </c>
      <c r="C30" t="s">
        <v>17</v>
      </c>
      <c r="D30" s="1">
        <v>46294</v>
      </c>
      <c r="E30">
        <v>27</v>
      </c>
      <c r="F30">
        <v>5</v>
      </c>
      <c r="G30">
        <v>760</v>
      </c>
      <c r="H30" t="s">
        <v>10</v>
      </c>
    </row>
    <row r="31" spans="1:8" x14ac:dyDescent="0.3">
      <c r="A31">
        <v>1030</v>
      </c>
      <c r="B31" t="s">
        <v>45</v>
      </c>
      <c r="C31" t="s">
        <v>19</v>
      </c>
      <c r="D31" s="1">
        <v>46295</v>
      </c>
      <c r="E31">
        <v>43</v>
      </c>
      <c r="F31">
        <v>4</v>
      </c>
      <c r="G31">
        <v>540</v>
      </c>
      <c r="H31" t="s">
        <v>10</v>
      </c>
    </row>
  </sheetData>
  <conditionalFormatting sqref="E2:E31">
    <cfRule type="expression" dxfId="10" priority="1">
      <formula>E2&gt;45</formula>
    </cfRule>
    <cfRule type="expression" dxfId="9" priority="2">
      <formula>AND(E2&gt;=31,E2&lt;=45)</formula>
    </cfRule>
    <cfRule type="expression" dxfId="8" priority="3">
      <formula>E2&lt;=30</formula>
    </cfRule>
    <cfRule type="expression" dxfId="7" priority="4">
      <formula>E2&lt;=30</formula>
    </cfRule>
  </conditionalFormatting>
  <dataValidations count="2">
    <dataValidation type="list" allowBlank="1" showInputMessage="1" showErrorMessage="1" sqref="C1:C31" xr:uid="{BD46CD6B-7DB5-4F17-9C2F-CB0324145CA2}">
      <formula1>"Indian,Chinese,Italian,Mexican,Fast Food"</formula1>
    </dataValidation>
    <dataValidation type="whole" allowBlank="1" showInputMessage="1" showErrorMessage="1" error="Rating must be between 1 and 5." prompt="Enter a rating from 1 to 5." sqref="F1:F31" xr:uid="{08792213-1E42-431D-AD67-DCC6224EEA44}">
      <formula1>1</formula1>
      <formula2>5</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A32FE-813E-44D3-9054-3B5FEDF56DEE}">
  <dimension ref="A1:H20"/>
  <sheetViews>
    <sheetView workbookViewId="0">
      <selection sqref="A1:H20"/>
    </sheetView>
  </sheetViews>
  <sheetFormatPr defaultRowHeight="14.4" x14ac:dyDescent="0.3"/>
  <cols>
    <col min="1" max="1" width="9.44140625" customWidth="1"/>
    <col min="2" max="2" width="16" customWidth="1"/>
    <col min="3" max="3" width="9.109375" customWidth="1"/>
    <col min="4" max="4" width="11.5546875" customWidth="1"/>
    <col min="5" max="5" width="13.77734375" customWidth="1"/>
    <col min="7" max="7" width="9.88671875" customWidth="1"/>
  </cols>
  <sheetData>
    <row r="1" spans="1:8" x14ac:dyDescent="0.3">
      <c r="A1" s="3" t="s">
        <v>0</v>
      </c>
      <c r="B1" s="3" t="s">
        <v>1</v>
      </c>
      <c r="C1" s="3" t="s">
        <v>2</v>
      </c>
      <c r="D1" s="3" t="s">
        <v>3</v>
      </c>
      <c r="E1" s="3" t="s">
        <v>4</v>
      </c>
      <c r="F1" s="3" t="s">
        <v>5</v>
      </c>
      <c r="G1" s="3" t="s">
        <v>6</v>
      </c>
      <c r="H1" s="3" t="s">
        <v>7</v>
      </c>
    </row>
    <row r="2" spans="1:8" x14ac:dyDescent="0.3">
      <c r="A2">
        <v>1001</v>
      </c>
      <c r="B2" t="s">
        <v>8</v>
      </c>
      <c r="C2" t="s">
        <v>9</v>
      </c>
      <c r="D2" s="1">
        <v>46266</v>
      </c>
      <c r="E2">
        <v>25</v>
      </c>
      <c r="F2">
        <v>5</v>
      </c>
      <c r="G2">
        <v>650</v>
      </c>
      <c r="H2" t="s">
        <v>10</v>
      </c>
    </row>
    <row r="3" spans="1:8" x14ac:dyDescent="0.3">
      <c r="A3">
        <v>1004</v>
      </c>
      <c r="B3" t="s">
        <v>16</v>
      </c>
      <c r="C3" t="s">
        <v>17</v>
      </c>
      <c r="D3" s="1">
        <v>46269</v>
      </c>
      <c r="E3">
        <v>30</v>
      </c>
      <c r="F3">
        <v>5</v>
      </c>
      <c r="G3">
        <v>850</v>
      </c>
      <c r="H3" t="s">
        <v>10</v>
      </c>
    </row>
    <row r="4" spans="1:8" x14ac:dyDescent="0.3">
      <c r="A4">
        <v>1005</v>
      </c>
      <c r="B4" t="s">
        <v>18</v>
      </c>
      <c r="C4" t="s">
        <v>19</v>
      </c>
      <c r="D4" s="1">
        <v>46270</v>
      </c>
      <c r="E4">
        <v>48</v>
      </c>
      <c r="F4">
        <v>4</v>
      </c>
      <c r="G4">
        <v>550</v>
      </c>
      <c r="H4" t="s">
        <v>10</v>
      </c>
    </row>
    <row r="5" spans="1:8" x14ac:dyDescent="0.3">
      <c r="A5">
        <v>1008</v>
      </c>
      <c r="B5" t="s">
        <v>23</v>
      </c>
      <c r="C5" t="s">
        <v>14</v>
      </c>
      <c r="D5" s="1">
        <v>46273</v>
      </c>
      <c r="E5">
        <v>35</v>
      </c>
      <c r="F5">
        <v>4</v>
      </c>
      <c r="G5">
        <v>620</v>
      </c>
      <c r="H5" t="s">
        <v>10</v>
      </c>
    </row>
    <row r="6" spans="1:8" x14ac:dyDescent="0.3">
      <c r="A6">
        <v>1009</v>
      </c>
      <c r="B6" t="s">
        <v>24</v>
      </c>
      <c r="C6" t="s">
        <v>17</v>
      </c>
      <c r="D6" s="1">
        <v>46274</v>
      </c>
      <c r="E6">
        <v>28</v>
      </c>
      <c r="F6">
        <v>5</v>
      </c>
      <c r="G6">
        <v>750</v>
      </c>
      <c r="H6" t="s">
        <v>10</v>
      </c>
    </row>
    <row r="7" spans="1:8" x14ac:dyDescent="0.3">
      <c r="A7">
        <v>1011</v>
      </c>
      <c r="B7" t="s">
        <v>26</v>
      </c>
      <c r="C7" t="s">
        <v>9</v>
      </c>
      <c r="D7" s="1">
        <v>46276</v>
      </c>
      <c r="E7">
        <v>27</v>
      </c>
      <c r="F7">
        <v>4</v>
      </c>
      <c r="G7">
        <v>680</v>
      </c>
      <c r="H7" t="s">
        <v>10</v>
      </c>
    </row>
    <row r="8" spans="1:8" x14ac:dyDescent="0.3">
      <c r="A8">
        <v>1012</v>
      </c>
      <c r="B8" t="s">
        <v>27</v>
      </c>
      <c r="C8" t="s">
        <v>12</v>
      </c>
      <c r="D8" s="1">
        <v>46277</v>
      </c>
      <c r="E8">
        <v>44</v>
      </c>
      <c r="F8">
        <v>5</v>
      </c>
      <c r="G8">
        <v>560</v>
      </c>
      <c r="H8" t="s">
        <v>10</v>
      </c>
    </row>
    <row r="9" spans="1:8" x14ac:dyDescent="0.3">
      <c r="A9">
        <v>1014</v>
      </c>
      <c r="B9" t="s">
        <v>29</v>
      </c>
      <c r="C9" t="s">
        <v>17</v>
      </c>
      <c r="D9" s="1">
        <v>46279</v>
      </c>
      <c r="E9">
        <v>31</v>
      </c>
      <c r="F9">
        <v>4</v>
      </c>
      <c r="G9">
        <v>920</v>
      </c>
      <c r="H9" t="s">
        <v>10</v>
      </c>
    </row>
    <row r="10" spans="1:8" x14ac:dyDescent="0.3">
      <c r="A10">
        <v>1015</v>
      </c>
      <c r="B10" t="s">
        <v>30</v>
      </c>
      <c r="C10" t="s">
        <v>19</v>
      </c>
      <c r="D10" s="1">
        <v>46280</v>
      </c>
      <c r="E10">
        <v>24</v>
      </c>
      <c r="F10">
        <v>5</v>
      </c>
      <c r="G10">
        <v>610</v>
      </c>
      <c r="H10" t="s">
        <v>10</v>
      </c>
    </row>
    <row r="11" spans="1:8" x14ac:dyDescent="0.3">
      <c r="A11">
        <v>1016</v>
      </c>
      <c r="B11" t="s">
        <v>31</v>
      </c>
      <c r="C11" t="s">
        <v>9</v>
      </c>
      <c r="D11" s="1">
        <v>46281</v>
      </c>
      <c r="E11">
        <v>39</v>
      </c>
      <c r="F11">
        <v>4</v>
      </c>
      <c r="G11">
        <v>530</v>
      </c>
      <c r="H11" t="s">
        <v>10</v>
      </c>
    </row>
    <row r="12" spans="1:8" x14ac:dyDescent="0.3">
      <c r="A12">
        <v>1018</v>
      </c>
      <c r="B12" t="s">
        <v>33</v>
      </c>
      <c r="C12" t="s">
        <v>14</v>
      </c>
      <c r="D12" s="1">
        <v>46283</v>
      </c>
      <c r="E12">
        <v>29</v>
      </c>
      <c r="F12">
        <v>5</v>
      </c>
      <c r="G12">
        <v>850</v>
      </c>
      <c r="H12" t="s">
        <v>10</v>
      </c>
    </row>
    <row r="13" spans="1:8" x14ac:dyDescent="0.3">
      <c r="A13">
        <v>1020</v>
      </c>
      <c r="B13" t="s">
        <v>35</v>
      </c>
      <c r="C13" t="s">
        <v>19</v>
      </c>
      <c r="D13" s="1">
        <v>46285</v>
      </c>
      <c r="E13">
        <v>33</v>
      </c>
      <c r="F13">
        <v>4</v>
      </c>
      <c r="G13">
        <v>670</v>
      </c>
      <c r="H13" t="s">
        <v>10</v>
      </c>
    </row>
    <row r="14" spans="1:8" x14ac:dyDescent="0.3">
      <c r="A14">
        <v>1021</v>
      </c>
      <c r="B14" t="s">
        <v>36</v>
      </c>
      <c r="C14" t="s">
        <v>9</v>
      </c>
      <c r="D14" s="1">
        <v>46286</v>
      </c>
      <c r="E14">
        <v>26</v>
      </c>
      <c r="F14">
        <v>5</v>
      </c>
      <c r="G14">
        <v>780</v>
      </c>
      <c r="H14" t="s">
        <v>10</v>
      </c>
    </row>
    <row r="15" spans="1:8" x14ac:dyDescent="0.3">
      <c r="A15">
        <v>1023</v>
      </c>
      <c r="B15" t="s">
        <v>38</v>
      </c>
      <c r="C15" t="s">
        <v>14</v>
      </c>
      <c r="D15" s="1">
        <v>46288</v>
      </c>
      <c r="E15">
        <v>37</v>
      </c>
      <c r="F15">
        <v>4</v>
      </c>
      <c r="G15">
        <v>730</v>
      </c>
      <c r="H15" t="s">
        <v>10</v>
      </c>
    </row>
    <row r="16" spans="1:8" x14ac:dyDescent="0.3">
      <c r="A16">
        <v>1024</v>
      </c>
      <c r="B16" t="s">
        <v>39</v>
      </c>
      <c r="C16" t="s">
        <v>17</v>
      </c>
      <c r="D16" s="1">
        <v>46289</v>
      </c>
      <c r="E16">
        <v>45</v>
      </c>
      <c r="F16">
        <v>5</v>
      </c>
      <c r="G16">
        <v>640</v>
      </c>
      <c r="H16" t="s">
        <v>10</v>
      </c>
    </row>
    <row r="17" spans="1:8" x14ac:dyDescent="0.3">
      <c r="A17">
        <v>1026</v>
      </c>
      <c r="B17" t="s">
        <v>41</v>
      </c>
      <c r="C17" t="s">
        <v>9</v>
      </c>
      <c r="D17" s="1">
        <v>46291</v>
      </c>
      <c r="E17">
        <v>21</v>
      </c>
      <c r="F17">
        <v>5</v>
      </c>
      <c r="G17">
        <v>520</v>
      </c>
      <c r="H17" t="s">
        <v>10</v>
      </c>
    </row>
    <row r="18" spans="1:8" x14ac:dyDescent="0.3">
      <c r="A18">
        <v>1027</v>
      </c>
      <c r="B18" t="s">
        <v>42</v>
      </c>
      <c r="C18" t="s">
        <v>12</v>
      </c>
      <c r="D18" s="1">
        <v>46292</v>
      </c>
      <c r="E18">
        <v>34</v>
      </c>
      <c r="F18">
        <v>4</v>
      </c>
      <c r="G18">
        <v>610</v>
      </c>
      <c r="H18" t="s">
        <v>10</v>
      </c>
    </row>
    <row r="19" spans="1:8" x14ac:dyDescent="0.3">
      <c r="A19">
        <v>1029</v>
      </c>
      <c r="B19" t="s">
        <v>44</v>
      </c>
      <c r="C19" t="s">
        <v>17</v>
      </c>
      <c r="D19" s="1">
        <v>46294</v>
      </c>
      <c r="E19">
        <v>27</v>
      </c>
      <c r="F19">
        <v>5</v>
      </c>
      <c r="G19">
        <v>760</v>
      </c>
      <c r="H19" t="s">
        <v>10</v>
      </c>
    </row>
    <row r="20" spans="1:8" x14ac:dyDescent="0.3">
      <c r="A20">
        <v>1030</v>
      </c>
      <c r="B20" t="s">
        <v>45</v>
      </c>
      <c r="C20" t="s">
        <v>19</v>
      </c>
      <c r="D20" s="1">
        <v>46295</v>
      </c>
      <c r="E20">
        <v>43</v>
      </c>
      <c r="F20">
        <v>4</v>
      </c>
      <c r="G20">
        <v>540</v>
      </c>
      <c r="H20" t="s">
        <v>10</v>
      </c>
    </row>
  </sheetData>
  <dataValidations count="2">
    <dataValidation type="whole" allowBlank="1" showInputMessage="1" showErrorMessage="1" error="Rating must be between 1 and 5." prompt="Enter a rating from 1 to 5." sqref="F1" xr:uid="{08792213-1E42-431D-AD67-DCC6224EEA44}">
      <formula1>1</formula1>
      <formula2>5</formula2>
    </dataValidation>
    <dataValidation type="list" allowBlank="1" showInputMessage="1" showErrorMessage="1" sqref="C1" xr:uid="{BD46CD6B-7DB5-4F17-9C2F-CB0324145CA2}">
      <formula1>"Indian,Chinese,Italian,Mexican,Fast Food"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431F-7CBB-4CBA-8E96-F9454A1FF201}">
  <dimension ref="A1:E16"/>
  <sheetViews>
    <sheetView workbookViewId="0">
      <selection sqref="A1:E16"/>
    </sheetView>
  </sheetViews>
  <sheetFormatPr defaultRowHeight="14.4" x14ac:dyDescent="0.3"/>
  <cols>
    <col min="1" max="1" width="14" customWidth="1"/>
    <col min="2" max="2" width="17.21875" customWidth="1"/>
    <col min="4" max="4" width="10.21875" customWidth="1"/>
    <col min="5" max="5" width="15" customWidth="1"/>
  </cols>
  <sheetData>
    <row r="1" spans="1:5" x14ac:dyDescent="0.3">
      <c r="A1" s="3" t="s">
        <v>84</v>
      </c>
      <c r="B1" s="3" t="s">
        <v>83</v>
      </c>
      <c r="C1" s="3" t="s">
        <v>46</v>
      </c>
      <c r="D1" s="3" t="s">
        <v>47</v>
      </c>
      <c r="E1" s="3" t="s">
        <v>85</v>
      </c>
    </row>
    <row r="2" spans="1:5" x14ac:dyDescent="0.3">
      <c r="A2" t="s">
        <v>48</v>
      </c>
      <c r="B2" t="s">
        <v>49</v>
      </c>
      <c r="C2" t="s">
        <v>50</v>
      </c>
      <c r="D2" t="s">
        <v>9</v>
      </c>
      <c r="E2">
        <v>4.5</v>
      </c>
    </row>
    <row r="3" spans="1:5" x14ac:dyDescent="0.3">
      <c r="A3" t="s">
        <v>51</v>
      </c>
      <c r="B3" t="s">
        <v>52</v>
      </c>
      <c r="C3" t="s">
        <v>53</v>
      </c>
      <c r="D3" t="s">
        <v>12</v>
      </c>
      <c r="E3">
        <v>4.2</v>
      </c>
    </row>
    <row r="4" spans="1:5" x14ac:dyDescent="0.3">
      <c r="A4" t="s">
        <v>54</v>
      </c>
      <c r="B4" t="s">
        <v>55</v>
      </c>
      <c r="C4" t="s">
        <v>56</v>
      </c>
      <c r="D4" t="s">
        <v>14</v>
      </c>
      <c r="E4">
        <v>4.3</v>
      </c>
    </row>
    <row r="5" spans="1:5" x14ac:dyDescent="0.3">
      <c r="A5" t="s">
        <v>57</v>
      </c>
      <c r="B5" t="s">
        <v>58</v>
      </c>
      <c r="C5" t="s">
        <v>59</v>
      </c>
      <c r="D5" t="s">
        <v>17</v>
      </c>
      <c r="E5">
        <v>4.0999999999999996</v>
      </c>
    </row>
    <row r="6" spans="1:5" x14ac:dyDescent="0.3">
      <c r="A6" t="s">
        <v>60</v>
      </c>
      <c r="B6" t="s">
        <v>61</v>
      </c>
      <c r="C6" t="s">
        <v>62</v>
      </c>
      <c r="D6" t="s">
        <v>19</v>
      </c>
      <c r="E6">
        <v>4</v>
      </c>
    </row>
    <row r="7" spans="1:5" x14ac:dyDescent="0.3">
      <c r="A7" t="s">
        <v>63</v>
      </c>
      <c r="B7" t="s">
        <v>64</v>
      </c>
      <c r="C7" t="s">
        <v>50</v>
      </c>
      <c r="D7" t="s">
        <v>9</v>
      </c>
      <c r="E7">
        <v>4.4000000000000004</v>
      </c>
    </row>
    <row r="8" spans="1:5" x14ac:dyDescent="0.3">
      <c r="A8" t="s">
        <v>65</v>
      </c>
      <c r="B8" t="s">
        <v>66</v>
      </c>
      <c r="C8" t="s">
        <v>53</v>
      </c>
      <c r="D8" t="s">
        <v>12</v>
      </c>
      <c r="E8">
        <v>4.0999999999999996</v>
      </c>
    </row>
    <row r="9" spans="1:5" x14ac:dyDescent="0.3">
      <c r="A9" t="s">
        <v>67</v>
      </c>
      <c r="B9" t="s">
        <v>68</v>
      </c>
      <c r="C9" t="s">
        <v>56</v>
      </c>
      <c r="D9" t="s">
        <v>14</v>
      </c>
      <c r="E9">
        <v>4.5999999999999996</v>
      </c>
    </row>
    <row r="10" spans="1:5" x14ac:dyDescent="0.3">
      <c r="A10" t="s">
        <v>69</v>
      </c>
      <c r="B10" t="s">
        <v>70</v>
      </c>
      <c r="C10" t="s">
        <v>59</v>
      </c>
      <c r="D10" t="s">
        <v>17</v>
      </c>
      <c r="E10">
        <v>4.2</v>
      </c>
    </row>
    <row r="11" spans="1:5" x14ac:dyDescent="0.3">
      <c r="A11" t="s">
        <v>71</v>
      </c>
      <c r="B11" t="s">
        <v>72</v>
      </c>
      <c r="C11" t="s">
        <v>62</v>
      </c>
      <c r="D11" t="s">
        <v>19</v>
      </c>
      <c r="E11">
        <v>3.9</v>
      </c>
    </row>
    <row r="12" spans="1:5" x14ac:dyDescent="0.3">
      <c r="A12" t="s">
        <v>73</v>
      </c>
      <c r="B12" t="s">
        <v>74</v>
      </c>
      <c r="C12" t="s">
        <v>50</v>
      </c>
      <c r="D12" t="s">
        <v>9</v>
      </c>
      <c r="E12">
        <v>4.7</v>
      </c>
    </row>
    <row r="13" spans="1:5" x14ac:dyDescent="0.3">
      <c r="A13" t="s">
        <v>75</v>
      </c>
      <c r="B13" t="s">
        <v>76</v>
      </c>
      <c r="C13" t="s">
        <v>53</v>
      </c>
      <c r="D13" t="s">
        <v>12</v>
      </c>
      <c r="E13">
        <v>4</v>
      </c>
    </row>
    <row r="14" spans="1:5" x14ac:dyDescent="0.3">
      <c r="A14" t="s">
        <v>77</v>
      </c>
      <c r="B14" t="s">
        <v>78</v>
      </c>
      <c r="C14" t="s">
        <v>56</v>
      </c>
      <c r="D14" t="s">
        <v>14</v>
      </c>
      <c r="E14">
        <v>4.5</v>
      </c>
    </row>
    <row r="15" spans="1:5" x14ac:dyDescent="0.3">
      <c r="A15" t="s">
        <v>79</v>
      </c>
      <c r="B15" t="s">
        <v>80</v>
      </c>
      <c r="C15" t="s">
        <v>59</v>
      </c>
      <c r="D15" t="s">
        <v>17</v>
      </c>
      <c r="E15">
        <v>4.3</v>
      </c>
    </row>
    <row r="16" spans="1:5" x14ac:dyDescent="0.3">
      <c r="A16" t="s">
        <v>81</v>
      </c>
      <c r="B16" t="s">
        <v>82</v>
      </c>
      <c r="C16" t="s">
        <v>62</v>
      </c>
      <c r="D16" t="s">
        <v>19</v>
      </c>
      <c r="E16">
        <v>4.0999999999999996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91D2A-BFA9-413F-928F-E64FE783BC75}">
  <dimension ref="A1:K31"/>
  <sheetViews>
    <sheetView zoomScale="102" workbookViewId="0">
      <selection activeCell="K12" sqref="K12"/>
    </sheetView>
  </sheetViews>
  <sheetFormatPr defaultRowHeight="14.4" x14ac:dyDescent="0.3"/>
  <cols>
    <col min="1" max="1" width="9.5546875" customWidth="1"/>
    <col min="2" max="2" width="15.21875" bestFit="1" customWidth="1"/>
    <col min="3" max="3" width="11.77734375" customWidth="1"/>
    <col min="4" max="4" width="16.6640625" customWidth="1"/>
    <col min="5" max="5" width="10.33203125" customWidth="1"/>
    <col min="7" max="7" width="17.5546875" customWidth="1"/>
    <col min="11" max="11" width="15.77734375" bestFit="1" customWidth="1"/>
  </cols>
  <sheetData>
    <row r="1" spans="1:11" x14ac:dyDescent="0.3">
      <c r="A1" s="3" t="s">
        <v>0</v>
      </c>
      <c r="B1" s="3" t="s">
        <v>84</v>
      </c>
      <c r="C1" s="3" t="s">
        <v>3</v>
      </c>
      <c r="D1" s="3" t="s">
        <v>86</v>
      </c>
      <c r="E1" s="3" t="s">
        <v>6</v>
      </c>
      <c r="F1" s="3" t="s">
        <v>5</v>
      </c>
      <c r="G1" s="3" t="s">
        <v>83</v>
      </c>
      <c r="H1" s="3" t="s">
        <v>46</v>
      </c>
      <c r="J1" s="3" t="s">
        <v>46</v>
      </c>
      <c r="K1" s="3" t="s">
        <v>88</v>
      </c>
    </row>
    <row r="2" spans="1:11" x14ac:dyDescent="0.3">
      <c r="A2">
        <v>2001</v>
      </c>
      <c r="B2" t="s">
        <v>48</v>
      </c>
      <c r="C2" s="1">
        <v>46266</v>
      </c>
      <c r="D2" t="s">
        <v>8</v>
      </c>
      <c r="E2">
        <v>650</v>
      </c>
      <c r="F2">
        <v>5</v>
      </c>
      <c r="G2" t="str">
        <f>_xlfn.XLOOKUP(B2,Task2_Restaurants!A2:A16,Task2_Restaurants!B2:B16,"Not Listed")</f>
        <v>Spice Hub</v>
      </c>
      <c r="H2" t="str">
        <f>IFERROR(INDEX(Task2_Restaurants!C2:C16,MATCH(B2,Task2_Restaurants!A2:A16,0)),"Not Listed")</f>
        <v>Central</v>
      </c>
      <c r="J2" t="str" cm="1">
        <f t="array" ref="J2:J6">_xlfn.UNIQUE(Task2_Restaurants!C2:C16)</f>
        <v>Central</v>
      </c>
      <c r="K2" s="2">
        <f>AVERAGEIF($H$2:$H$31,J2,$E$2:$E$31)</f>
        <v>576.66666666666663</v>
      </c>
    </row>
    <row r="3" spans="1:11" x14ac:dyDescent="0.3">
      <c r="A3">
        <v>2002</v>
      </c>
      <c r="B3" t="s">
        <v>51</v>
      </c>
      <c r="C3" s="1">
        <v>46267</v>
      </c>
      <c r="D3" t="s">
        <v>11</v>
      </c>
      <c r="E3">
        <v>450</v>
      </c>
      <c r="F3">
        <v>4</v>
      </c>
      <c r="G3" t="str">
        <f>_xlfn.XLOOKUP(B3,Task2_Restaurants!A3:A17,Task2_Restaurants!B3:B17,"Not Listed")</f>
        <v>Dragon House</v>
      </c>
      <c r="H3" t="str">
        <f>IFERROR(INDEX(Task2_Restaurants!C3:C17,MATCH(B3,Task2_Restaurants!A3:A17,0)),"Not Listed")</f>
        <v>North</v>
      </c>
      <c r="J3" t="str">
        <v>North</v>
      </c>
      <c r="K3" s="2">
        <f t="shared" ref="K3:K6" si="0">AVERAGEIF($H$2:$H$31,J3,$E$2:$E$31)</f>
        <v>636.66666666666663</v>
      </c>
    </row>
    <row r="4" spans="1:11" x14ac:dyDescent="0.3">
      <c r="A4">
        <v>2003</v>
      </c>
      <c r="B4" t="s">
        <v>54</v>
      </c>
      <c r="C4" s="1">
        <v>46268</v>
      </c>
      <c r="D4" t="s">
        <v>13</v>
      </c>
      <c r="E4">
        <v>720</v>
      </c>
      <c r="F4">
        <v>4</v>
      </c>
      <c r="G4" t="str">
        <f>_xlfn.XLOOKUP(B4,Task2_Restaurants!A4:A18,Task2_Restaurants!B4:B18,"Not Listed")</f>
        <v>Pasta Point</v>
      </c>
      <c r="H4" t="str">
        <f>IFERROR(INDEX(Task2_Restaurants!C4:C18,MATCH(B4,Task2_Restaurants!A4:A18,0)),"Not Listed")</f>
        <v>South</v>
      </c>
      <c r="J4" t="str">
        <v>South</v>
      </c>
      <c r="K4" s="2">
        <f t="shared" si="0"/>
        <v>713.33333333333337</v>
      </c>
    </row>
    <row r="5" spans="1:11" x14ac:dyDescent="0.3">
      <c r="A5">
        <v>2004</v>
      </c>
      <c r="B5" t="s">
        <v>57</v>
      </c>
      <c r="C5" s="1">
        <v>46269</v>
      </c>
      <c r="D5" t="s">
        <v>16</v>
      </c>
      <c r="E5">
        <v>850</v>
      </c>
      <c r="F5">
        <v>5</v>
      </c>
      <c r="G5" t="str">
        <f>_xlfn.XLOOKUP(B5,Task2_Restaurants!A5:A19,Task2_Restaurants!B5:B19,"Not Listed")</f>
        <v>Taco Town</v>
      </c>
      <c r="H5" t="str">
        <f>IFERROR(INDEX(Task2_Restaurants!C5:C19,MATCH(B5,Task2_Restaurants!A5:A19,0)),"Not Listed")</f>
        <v>West</v>
      </c>
      <c r="J5" t="str">
        <v>West</v>
      </c>
      <c r="K5" s="2">
        <f t="shared" si="0"/>
        <v>840</v>
      </c>
    </row>
    <row r="6" spans="1:11" x14ac:dyDescent="0.3">
      <c r="A6">
        <v>2005</v>
      </c>
      <c r="B6" t="s">
        <v>60</v>
      </c>
      <c r="C6" s="1">
        <v>46270</v>
      </c>
      <c r="D6" t="s">
        <v>18</v>
      </c>
      <c r="E6">
        <v>550</v>
      </c>
      <c r="F6">
        <v>4</v>
      </c>
      <c r="G6" t="str">
        <f>_xlfn.XLOOKUP(B6,Task2_Restaurants!A6:A20,Task2_Restaurants!B6:B20,"Not Listed")</f>
        <v>Burger King</v>
      </c>
      <c r="H6" t="str">
        <f>IFERROR(INDEX(Task2_Restaurants!C6:C20,MATCH(B6,Task2_Restaurants!A6:A20,0)),"Not Listed")</f>
        <v>East</v>
      </c>
      <c r="J6" t="str">
        <v>East</v>
      </c>
      <c r="K6" s="2">
        <f t="shared" si="0"/>
        <v>546.66666666666663</v>
      </c>
    </row>
    <row r="7" spans="1:11" x14ac:dyDescent="0.3">
      <c r="A7">
        <v>2006</v>
      </c>
      <c r="B7" t="s">
        <v>63</v>
      </c>
      <c r="C7" s="1">
        <v>46271</v>
      </c>
      <c r="D7" t="s">
        <v>20</v>
      </c>
      <c r="E7">
        <v>400</v>
      </c>
      <c r="F7">
        <v>5</v>
      </c>
      <c r="G7" t="str">
        <f>_xlfn.XLOOKUP(B7,Task2_Restaurants!A7:A21,Task2_Restaurants!B7:B21,"Not Listed")</f>
        <v>Curry House</v>
      </c>
      <c r="H7" t="str">
        <f>IFERROR(INDEX(Task2_Restaurants!C7:C21,MATCH(B7,Task2_Restaurants!A7:A21,0)),"Not Listed")</f>
        <v>Central</v>
      </c>
    </row>
    <row r="8" spans="1:11" x14ac:dyDescent="0.3">
      <c r="A8">
        <v>2007</v>
      </c>
      <c r="B8" t="s">
        <v>65</v>
      </c>
      <c r="C8" s="1">
        <v>46272</v>
      </c>
      <c r="D8" t="s">
        <v>21</v>
      </c>
      <c r="E8">
        <v>900</v>
      </c>
      <c r="F8">
        <v>3</v>
      </c>
      <c r="G8" t="str">
        <f>_xlfn.XLOOKUP(B8,Task2_Restaurants!A8:A22,Task2_Restaurants!B8:B22,"Not Listed")</f>
        <v>Chow Mein</v>
      </c>
      <c r="H8" t="str">
        <f>IFERROR(INDEX(Task2_Restaurants!C8:C22,MATCH(B8,Task2_Restaurants!A8:A22,0)),"Not Listed")</f>
        <v>North</v>
      </c>
    </row>
    <row r="9" spans="1:11" x14ac:dyDescent="0.3">
      <c r="A9">
        <v>2008</v>
      </c>
      <c r="B9" t="s">
        <v>67</v>
      </c>
      <c r="C9" s="1">
        <v>46273</v>
      </c>
      <c r="D9" t="s">
        <v>23</v>
      </c>
      <c r="E9">
        <v>620</v>
      </c>
      <c r="F9">
        <v>4</v>
      </c>
      <c r="G9" t="str">
        <f>_xlfn.XLOOKUP(B9,Task2_Restaurants!A9:A23,Task2_Restaurants!B9:B23,"Not Listed")</f>
        <v>Pizza Palace</v>
      </c>
      <c r="H9" t="str">
        <f>IFERROR(INDEX(Task2_Restaurants!C9:C23,MATCH(B9,Task2_Restaurants!A9:A23,0)),"Not Listed")</f>
        <v>South</v>
      </c>
    </row>
    <row r="10" spans="1:11" x14ac:dyDescent="0.3">
      <c r="A10">
        <v>2009</v>
      </c>
      <c r="B10" t="s">
        <v>69</v>
      </c>
      <c r="C10" s="1">
        <v>46274</v>
      </c>
      <c r="D10" t="s">
        <v>24</v>
      </c>
      <c r="E10">
        <v>750</v>
      </c>
      <c r="F10">
        <v>5</v>
      </c>
      <c r="G10" t="str">
        <f>_xlfn.XLOOKUP(B10,Task2_Restaurants!A10:A24,Task2_Restaurants!B10:B24,"Not Listed")</f>
        <v>Taco Fiesta</v>
      </c>
      <c r="H10" t="str">
        <f>IFERROR(INDEX(Task2_Restaurants!C10:C24,MATCH(B10,Task2_Restaurants!A10:A24,0)),"Not Listed")</f>
        <v>West</v>
      </c>
    </row>
    <row r="11" spans="1:11" x14ac:dyDescent="0.3">
      <c r="A11">
        <v>2010</v>
      </c>
      <c r="B11" t="s">
        <v>71</v>
      </c>
      <c r="C11" s="1">
        <v>46275</v>
      </c>
      <c r="D11" t="s">
        <v>25</v>
      </c>
      <c r="E11">
        <v>480</v>
      </c>
      <c r="F11">
        <v>3</v>
      </c>
      <c r="G11" t="str">
        <f>_xlfn.XLOOKUP(B11,Task2_Restaurants!A11:A25,Task2_Restaurants!B11:B25,"Not Listed")</f>
        <v>Food Express</v>
      </c>
      <c r="H11" t="str">
        <f>IFERROR(INDEX(Task2_Restaurants!C11:C25,MATCH(B11,Task2_Restaurants!A11:A25,0)),"Not Listed")</f>
        <v>East</v>
      </c>
    </row>
    <row r="12" spans="1:11" x14ac:dyDescent="0.3">
      <c r="A12">
        <v>2011</v>
      </c>
      <c r="B12" t="s">
        <v>73</v>
      </c>
      <c r="C12" s="1">
        <v>46276</v>
      </c>
      <c r="D12" t="s">
        <v>26</v>
      </c>
      <c r="E12">
        <v>680</v>
      </c>
      <c r="F12">
        <v>4</v>
      </c>
      <c r="G12" t="str">
        <f>_xlfn.XLOOKUP(B12,Task2_Restaurants!A12:A26,Task2_Restaurants!B12:B26,"Not Listed")</f>
        <v>Punjabi Rasoi</v>
      </c>
      <c r="H12" t="str">
        <f>IFERROR(INDEX(Task2_Restaurants!C12:C26,MATCH(B12,Task2_Restaurants!A12:A26,0)),"Not Listed")</f>
        <v>Central</v>
      </c>
    </row>
    <row r="13" spans="1:11" x14ac:dyDescent="0.3">
      <c r="A13">
        <v>2012</v>
      </c>
      <c r="B13" t="s">
        <v>75</v>
      </c>
      <c r="C13" s="1">
        <v>46277</v>
      </c>
      <c r="D13" t="s">
        <v>27</v>
      </c>
      <c r="E13">
        <v>560</v>
      </c>
      <c r="F13">
        <v>5</v>
      </c>
      <c r="G13" t="str">
        <f>_xlfn.XLOOKUP(B13,Task2_Restaurants!A13:A27,Task2_Restaurants!B13:B27,"Not Listed")</f>
        <v>Chinese Bowl</v>
      </c>
      <c r="H13" t="str">
        <f>IFERROR(INDEX(Task2_Restaurants!C13:C27,MATCH(B13,Task2_Restaurants!A13:A27,0)),"Not Listed")</f>
        <v>North</v>
      </c>
    </row>
    <row r="14" spans="1:11" x14ac:dyDescent="0.3">
      <c r="A14">
        <v>2013</v>
      </c>
      <c r="B14" t="s">
        <v>77</v>
      </c>
      <c r="C14" s="1">
        <v>46278</v>
      </c>
      <c r="D14" t="s">
        <v>28</v>
      </c>
      <c r="E14">
        <v>800</v>
      </c>
      <c r="F14">
        <v>4</v>
      </c>
      <c r="G14" t="str">
        <f>_xlfn.XLOOKUP(B14,Task2_Restaurants!A14:A28,Task2_Restaurants!B14:B28,"Not Listed")</f>
        <v>Italian Kitchen</v>
      </c>
      <c r="H14" t="str">
        <f>IFERROR(INDEX(Task2_Restaurants!C14:C28,MATCH(B14,Task2_Restaurants!A14:A28,0)),"Not Listed")</f>
        <v>South</v>
      </c>
    </row>
    <row r="15" spans="1:11" x14ac:dyDescent="0.3">
      <c r="A15">
        <v>2014</v>
      </c>
      <c r="B15" t="s">
        <v>79</v>
      </c>
      <c r="C15" s="1">
        <v>46279</v>
      </c>
      <c r="D15" t="s">
        <v>29</v>
      </c>
      <c r="E15">
        <v>920</v>
      </c>
      <c r="F15">
        <v>5</v>
      </c>
      <c r="G15" t="str">
        <f>_xlfn.XLOOKUP(B15,Task2_Restaurants!A15:A29,Task2_Restaurants!B15:B29,"Not Listed")</f>
        <v>Mexican Grill</v>
      </c>
      <c r="H15" t="str">
        <f>IFERROR(INDEX(Task2_Restaurants!C15:C29,MATCH(B15,Task2_Restaurants!A15:A29,0)),"Not Listed")</f>
        <v>West</v>
      </c>
    </row>
    <row r="16" spans="1:11" x14ac:dyDescent="0.3">
      <c r="A16">
        <v>2015</v>
      </c>
      <c r="B16" t="s">
        <v>81</v>
      </c>
      <c r="C16" s="1">
        <v>46280</v>
      </c>
      <c r="D16" t="s">
        <v>30</v>
      </c>
      <c r="E16">
        <v>610</v>
      </c>
      <c r="F16">
        <v>5</v>
      </c>
      <c r="G16" t="str">
        <f>_xlfn.XLOOKUP(B16,Task2_Restaurants!A16:A30,Task2_Restaurants!B16:B30,"Not Listed")</f>
        <v>Fast Bite</v>
      </c>
      <c r="H16" t="str">
        <f>IFERROR(INDEX(Task2_Restaurants!C16:C30,MATCH(B16,Task2_Restaurants!A16:A30,0)),"Not Listed")</f>
        <v>East</v>
      </c>
    </row>
    <row r="17" spans="1:8" x14ac:dyDescent="0.3">
      <c r="A17">
        <v>2016</v>
      </c>
      <c r="B17" t="s">
        <v>48</v>
      </c>
      <c r="C17" s="1">
        <v>46281</v>
      </c>
      <c r="D17" t="s">
        <v>31</v>
      </c>
      <c r="E17">
        <v>530</v>
      </c>
      <c r="F17">
        <v>4</v>
      </c>
      <c r="G17" t="str">
        <f>_xlfn.XLOOKUP(B17,Task2_Restaurants!A17:A31,Task2_Restaurants!B17:B31,"Not Listed")</f>
        <v>Not Listed</v>
      </c>
      <c r="H17" t="str">
        <f>IFERROR(INDEX(Task2_Restaurants!C17:C31,MATCH(B17,Task2_Restaurants!A17:A31,0)),"Not Listed")</f>
        <v>Not Listed</v>
      </c>
    </row>
    <row r="18" spans="1:8" x14ac:dyDescent="0.3">
      <c r="A18">
        <v>2017</v>
      </c>
      <c r="B18" t="s">
        <v>51</v>
      </c>
      <c r="C18" s="1">
        <v>46282</v>
      </c>
      <c r="D18" t="s">
        <v>32</v>
      </c>
      <c r="E18">
        <v>700</v>
      </c>
      <c r="F18">
        <v>4</v>
      </c>
      <c r="G18" t="str">
        <f>_xlfn.XLOOKUP(B18,Task2_Restaurants!A18:A32,Task2_Restaurants!B18:B32,"Not Listed")</f>
        <v>Not Listed</v>
      </c>
      <c r="H18" t="str">
        <f>IFERROR(INDEX(Task2_Restaurants!C18:C32,MATCH(B18,Task2_Restaurants!A18:A32,0)),"Not Listed")</f>
        <v>Not Listed</v>
      </c>
    </row>
    <row r="19" spans="1:8" x14ac:dyDescent="0.3">
      <c r="A19">
        <v>2018</v>
      </c>
      <c r="B19" t="s">
        <v>54</v>
      </c>
      <c r="C19" s="1">
        <v>46283</v>
      </c>
      <c r="D19" t="s">
        <v>33</v>
      </c>
      <c r="E19">
        <v>850</v>
      </c>
      <c r="F19">
        <v>5</v>
      </c>
      <c r="G19" t="str">
        <f>_xlfn.XLOOKUP(B19,Task2_Restaurants!A19:A33,Task2_Restaurants!B19:B33,"Not Listed")</f>
        <v>Not Listed</v>
      </c>
      <c r="H19" t="str">
        <f>IFERROR(INDEX(Task2_Restaurants!C19:C33,MATCH(B19,Task2_Restaurants!A19:A33,0)),"Not Listed")</f>
        <v>Not Listed</v>
      </c>
    </row>
    <row r="20" spans="1:8" x14ac:dyDescent="0.3">
      <c r="A20">
        <v>2019</v>
      </c>
      <c r="B20" t="s">
        <v>57</v>
      </c>
      <c r="C20" s="1">
        <v>46284</v>
      </c>
      <c r="D20" t="s">
        <v>34</v>
      </c>
      <c r="E20">
        <v>450</v>
      </c>
      <c r="F20">
        <v>3</v>
      </c>
      <c r="G20" t="str">
        <f>_xlfn.XLOOKUP(B20,Task2_Restaurants!A20:A34,Task2_Restaurants!B20:B34,"Not Listed")</f>
        <v>Not Listed</v>
      </c>
      <c r="H20" t="str">
        <f>IFERROR(INDEX(Task2_Restaurants!C20:C34,MATCH(B20,Task2_Restaurants!A20:A34,0)),"Not Listed")</f>
        <v>Not Listed</v>
      </c>
    </row>
    <row r="21" spans="1:8" x14ac:dyDescent="0.3">
      <c r="A21">
        <v>2020</v>
      </c>
      <c r="B21" t="s">
        <v>60</v>
      </c>
      <c r="C21" s="1">
        <v>46285</v>
      </c>
      <c r="D21" t="s">
        <v>35</v>
      </c>
      <c r="E21">
        <v>670</v>
      </c>
      <c r="F21">
        <v>4</v>
      </c>
      <c r="G21" t="str">
        <f>_xlfn.XLOOKUP(B21,Task2_Restaurants!A21:A35,Task2_Restaurants!B21:B35,"Not Listed")</f>
        <v>Not Listed</v>
      </c>
      <c r="H21" t="str">
        <f>IFERROR(INDEX(Task2_Restaurants!C21:C35,MATCH(B21,Task2_Restaurants!A21:A35,0)),"Not Listed")</f>
        <v>Not Listed</v>
      </c>
    </row>
    <row r="22" spans="1:8" x14ac:dyDescent="0.3">
      <c r="A22">
        <v>2021</v>
      </c>
      <c r="B22" t="s">
        <v>63</v>
      </c>
      <c r="C22" s="1">
        <v>46286</v>
      </c>
      <c r="D22" t="s">
        <v>36</v>
      </c>
      <c r="E22">
        <v>780</v>
      </c>
      <c r="F22">
        <v>5</v>
      </c>
      <c r="G22" t="str">
        <f>_xlfn.XLOOKUP(B22,Task2_Restaurants!A22:A36,Task2_Restaurants!B22:B36,"Not Listed")</f>
        <v>Not Listed</v>
      </c>
      <c r="H22" t="str">
        <f>IFERROR(INDEX(Task2_Restaurants!C22:C36,MATCH(B22,Task2_Restaurants!A22:A36,0)),"Not Listed")</f>
        <v>Not Listed</v>
      </c>
    </row>
    <row r="23" spans="1:8" x14ac:dyDescent="0.3">
      <c r="A23">
        <v>2022</v>
      </c>
      <c r="B23" t="s">
        <v>65</v>
      </c>
      <c r="C23" s="1">
        <v>46287</v>
      </c>
      <c r="D23" t="s">
        <v>37</v>
      </c>
      <c r="E23">
        <v>590</v>
      </c>
      <c r="F23">
        <v>3</v>
      </c>
      <c r="G23" t="str">
        <f>_xlfn.XLOOKUP(B23,Task2_Restaurants!A23:A37,Task2_Restaurants!B23:B37,"Not Listed")</f>
        <v>Not Listed</v>
      </c>
      <c r="H23" t="str">
        <f>IFERROR(INDEX(Task2_Restaurants!C23:C37,MATCH(B23,Task2_Restaurants!A23:A37,0)),"Not Listed")</f>
        <v>Not Listed</v>
      </c>
    </row>
    <row r="24" spans="1:8" x14ac:dyDescent="0.3">
      <c r="A24">
        <v>2023</v>
      </c>
      <c r="B24" t="s">
        <v>67</v>
      </c>
      <c r="C24" s="1">
        <v>46288</v>
      </c>
      <c r="D24" t="s">
        <v>38</v>
      </c>
      <c r="E24">
        <v>730</v>
      </c>
      <c r="F24">
        <v>4</v>
      </c>
      <c r="G24" t="str">
        <f>_xlfn.XLOOKUP(B24,Task2_Restaurants!A24:A38,Task2_Restaurants!B24:B38,"Not Listed")</f>
        <v>Not Listed</v>
      </c>
      <c r="H24" t="str">
        <f>IFERROR(INDEX(Task2_Restaurants!C24:C38,MATCH(B24,Task2_Restaurants!A24:A38,0)),"Not Listed")</f>
        <v>Not Listed</v>
      </c>
    </row>
    <row r="25" spans="1:8" x14ac:dyDescent="0.3">
      <c r="A25">
        <v>2024</v>
      </c>
      <c r="B25" t="s">
        <v>69</v>
      </c>
      <c r="C25" s="1">
        <v>46289</v>
      </c>
      <c r="D25" t="s">
        <v>39</v>
      </c>
      <c r="E25">
        <v>640</v>
      </c>
      <c r="F25">
        <v>5</v>
      </c>
      <c r="G25" t="str">
        <f>_xlfn.XLOOKUP(B25,Task2_Restaurants!A25:A39,Task2_Restaurants!B25:B39,"Not Listed")</f>
        <v>Not Listed</v>
      </c>
      <c r="H25" t="str">
        <f>IFERROR(INDEX(Task2_Restaurants!C25:C39,MATCH(B25,Task2_Restaurants!A25:A39,0)),"Not Listed")</f>
        <v>Not Listed</v>
      </c>
    </row>
    <row r="26" spans="1:8" x14ac:dyDescent="0.3">
      <c r="A26">
        <v>2025</v>
      </c>
      <c r="B26" t="s">
        <v>71</v>
      </c>
      <c r="C26" s="1">
        <v>46290</v>
      </c>
      <c r="D26" t="s">
        <v>40</v>
      </c>
      <c r="E26">
        <v>950</v>
      </c>
      <c r="F26">
        <v>4</v>
      </c>
      <c r="G26" t="str">
        <f>_xlfn.XLOOKUP(B26,Task2_Restaurants!A26:A40,Task2_Restaurants!B26:B40,"Not Listed")</f>
        <v>Not Listed</v>
      </c>
      <c r="H26" t="str">
        <f>IFERROR(INDEX(Task2_Restaurants!C26:C40,MATCH(B26,Task2_Restaurants!A26:A40,0)),"Not Listed")</f>
        <v>Not Listed</v>
      </c>
    </row>
    <row r="27" spans="1:8" x14ac:dyDescent="0.3">
      <c r="A27">
        <v>2026</v>
      </c>
      <c r="B27" t="s">
        <v>73</v>
      </c>
      <c r="C27" s="1">
        <v>46291</v>
      </c>
      <c r="D27" t="s">
        <v>41</v>
      </c>
      <c r="E27">
        <v>520</v>
      </c>
      <c r="F27">
        <v>5</v>
      </c>
      <c r="G27" t="str">
        <f>_xlfn.XLOOKUP(B27,Task2_Restaurants!A27:A41,Task2_Restaurants!B27:B41,"Not Listed")</f>
        <v>Not Listed</v>
      </c>
      <c r="H27" t="str">
        <f>IFERROR(INDEX(Task2_Restaurants!C27:C41,MATCH(B27,Task2_Restaurants!A27:A41,0)),"Not Listed")</f>
        <v>Not Listed</v>
      </c>
    </row>
    <row r="28" spans="1:8" x14ac:dyDescent="0.3">
      <c r="A28">
        <v>2027</v>
      </c>
      <c r="B28" t="s">
        <v>75</v>
      </c>
      <c r="C28" s="1">
        <v>46292</v>
      </c>
      <c r="D28" t="s">
        <v>42</v>
      </c>
      <c r="E28">
        <v>610</v>
      </c>
      <c r="F28">
        <v>4</v>
      </c>
      <c r="G28" t="str">
        <f>_xlfn.XLOOKUP(B28,Task2_Restaurants!A28:A42,Task2_Restaurants!B28:B42,"Not Listed")</f>
        <v>Not Listed</v>
      </c>
      <c r="H28" t="str">
        <f>IFERROR(INDEX(Task2_Restaurants!C28:C42,MATCH(B28,Task2_Restaurants!A28:A42,0)),"Not Listed")</f>
        <v>Not Listed</v>
      </c>
    </row>
    <row r="29" spans="1:8" x14ac:dyDescent="0.3">
      <c r="A29">
        <v>2028</v>
      </c>
      <c r="B29" t="s">
        <v>77</v>
      </c>
      <c r="C29" s="1">
        <v>46293</v>
      </c>
      <c r="D29" t="s">
        <v>43</v>
      </c>
      <c r="E29">
        <v>880</v>
      </c>
      <c r="F29">
        <v>3</v>
      </c>
      <c r="G29" t="str">
        <f>_xlfn.XLOOKUP(B29,Task2_Restaurants!A29:A43,Task2_Restaurants!B29:B43,"Not Listed")</f>
        <v>Not Listed</v>
      </c>
      <c r="H29" t="str">
        <f>IFERROR(INDEX(Task2_Restaurants!C29:C43,MATCH(B29,Task2_Restaurants!A29:A43,0)),"Not Listed")</f>
        <v>Not Listed</v>
      </c>
    </row>
    <row r="30" spans="1:8" x14ac:dyDescent="0.3">
      <c r="A30">
        <v>2029</v>
      </c>
      <c r="B30" t="s">
        <v>79</v>
      </c>
      <c r="C30" s="1">
        <v>46294</v>
      </c>
      <c r="D30" t="s">
        <v>44</v>
      </c>
      <c r="E30">
        <v>760</v>
      </c>
      <c r="F30">
        <v>5</v>
      </c>
      <c r="G30" t="str">
        <f>_xlfn.XLOOKUP(B30,Task2_Restaurants!A30:A44,Task2_Restaurants!B30:B44,"Not Listed")</f>
        <v>Not Listed</v>
      </c>
      <c r="H30" t="str">
        <f>IFERROR(INDEX(Task2_Restaurants!C30:C44,MATCH(B30,Task2_Restaurants!A30:A44,0)),"Not Listed")</f>
        <v>Not Listed</v>
      </c>
    </row>
    <row r="31" spans="1:8" x14ac:dyDescent="0.3">
      <c r="A31">
        <v>2030</v>
      </c>
      <c r="B31" t="s">
        <v>81</v>
      </c>
      <c r="C31" s="1">
        <v>46295</v>
      </c>
      <c r="D31" t="s">
        <v>45</v>
      </c>
      <c r="E31">
        <v>540</v>
      </c>
      <c r="F31">
        <v>4</v>
      </c>
      <c r="G31" t="str">
        <f>_xlfn.XLOOKUP(B31,Task2_Restaurants!A31:A45,Task2_Restaurants!B31:B45,"Not Listed")</f>
        <v>Not Listed</v>
      </c>
      <c r="H31" t="str">
        <f>IFERROR(INDEX(Task2_Restaurants!C31:C45,MATCH(B31,Task2_Restaurants!A31:A45,0)),"Not Listed")</f>
        <v>Not Listed</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B339B-29C6-4937-8ADC-6096BCEB4DE0}">
  <dimension ref="A1:H52"/>
  <sheetViews>
    <sheetView workbookViewId="0"/>
  </sheetViews>
  <sheetFormatPr defaultRowHeight="14.4" x14ac:dyDescent="0.3"/>
  <cols>
    <col min="1" max="1" width="11.5546875" customWidth="1"/>
    <col min="2" max="2" width="9.109375" customWidth="1"/>
    <col min="4" max="4" width="9.88671875" customWidth="1"/>
    <col min="5" max="5" width="14.109375" customWidth="1"/>
    <col min="7" max="7" width="12.88671875" bestFit="1" customWidth="1"/>
    <col min="8" max="8" width="17.88671875" bestFit="1" customWidth="1"/>
  </cols>
  <sheetData>
    <row r="1" spans="1:8" x14ac:dyDescent="0.3">
      <c r="A1" t="s">
        <v>3</v>
      </c>
      <c r="B1" t="s">
        <v>2</v>
      </c>
      <c r="C1" t="s">
        <v>46</v>
      </c>
      <c r="D1" t="s">
        <v>6</v>
      </c>
      <c r="E1" t="s">
        <v>87</v>
      </c>
      <c r="F1" t="s">
        <v>7</v>
      </c>
      <c r="G1" t="s">
        <v>96</v>
      </c>
      <c r="H1" t="s">
        <v>97</v>
      </c>
    </row>
    <row r="2" spans="1:8" x14ac:dyDescent="0.3">
      <c r="A2" s="1">
        <v>46204</v>
      </c>
      <c r="B2" t="s">
        <v>9</v>
      </c>
      <c r="C2" t="s">
        <v>50</v>
      </c>
      <c r="D2">
        <v>650</v>
      </c>
      <c r="E2">
        <v>25</v>
      </c>
      <c r="F2" t="s">
        <v>10</v>
      </c>
      <c r="G2">
        <v>1</v>
      </c>
      <c r="H2">
        <f t="shared" ref="H2:H33" si="0">D2/G2</f>
        <v>650</v>
      </c>
    </row>
    <row r="3" spans="1:8" x14ac:dyDescent="0.3">
      <c r="A3" s="1">
        <v>46205</v>
      </c>
      <c r="B3" t="s">
        <v>12</v>
      </c>
      <c r="C3" t="s">
        <v>53</v>
      </c>
      <c r="D3">
        <v>450</v>
      </c>
      <c r="E3">
        <v>42</v>
      </c>
      <c r="F3" t="s">
        <v>10</v>
      </c>
      <c r="G3">
        <v>1</v>
      </c>
      <c r="H3">
        <f t="shared" si="0"/>
        <v>450</v>
      </c>
    </row>
    <row r="4" spans="1:8" x14ac:dyDescent="0.3">
      <c r="A4" s="1">
        <v>46206</v>
      </c>
      <c r="B4" t="s">
        <v>14</v>
      </c>
      <c r="C4" t="s">
        <v>56</v>
      </c>
      <c r="D4">
        <v>720</v>
      </c>
      <c r="E4">
        <v>35</v>
      </c>
      <c r="F4" t="s">
        <v>10</v>
      </c>
      <c r="G4">
        <v>1</v>
      </c>
      <c r="H4">
        <f t="shared" si="0"/>
        <v>720</v>
      </c>
    </row>
    <row r="5" spans="1:8" x14ac:dyDescent="0.3">
      <c r="A5" s="1">
        <v>46207</v>
      </c>
      <c r="B5" t="s">
        <v>17</v>
      </c>
      <c r="C5" t="s">
        <v>59</v>
      </c>
      <c r="D5">
        <v>850</v>
      </c>
      <c r="E5">
        <v>30</v>
      </c>
      <c r="F5" t="s">
        <v>10</v>
      </c>
      <c r="G5">
        <v>1</v>
      </c>
      <c r="H5">
        <f t="shared" si="0"/>
        <v>850</v>
      </c>
    </row>
    <row r="6" spans="1:8" x14ac:dyDescent="0.3">
      <c r="A6" s="1">
        <v>46208</v>
      </c>
      <c r="B6" t="s">
        <v>19</v>
      </c>
      <c r="C6" t="s">
        <v>62</v>
      </c>
      <c r="D6">
        <v>550</v>
      </c>
      <c r="E6">
        <v>48</v>
      </c>
      <c r="F6" t="s">
        <v>10</v>
      </c>
      <c r="G6">
        <v>1</v>
      </c>
      <c r="H6">
        <f t="shared" si="0"/>
        <v>550</v>
      </c>
    </row>
    <row r="7" spans="1:8" x14ac:dyDescent="0.3">
      <c r="A7" s="1">
        <v>46209</v>
      </c>
      <c r="B7" t="s">
        <v>9</v>
      </c>
      <c r="C7" t="s">
        <v>50</v>
      </c>
      <c r="D7">
        <v>400</v>
      </c>
      <c r="E7">
        <v>22</v>
      </c>
      <c r="F7" t="s">
        <v>15</v>
      </c>
      <c r="G7">
        <v>1</v>
      </c>
      <c r="H7">
        <f t="shared" si="0"/>
        <v>400</v>
      </c>
    </row>
    <row r="8" spans="1:8" x14ac:dyDescent="0.3">
      <c r="A8" s="1">
        <v>46210</v>
      </c>
      <c r="B8" t="s">
        <v>12</v>
      </c>
      <c r="C8" t="s">
        <v>53</v>
      </c>
      <c r="D8">
        <v>900</v>
      </c>
      <c r="E8">
        <v>65</v>
      </c>
      <c r="F8" t="s">
        <v>10</v>
      </c>
      <c r="G8">
        <v>1</v>
      </c>
      <c r="H8">
        <f t="shared" si="0"/>
        <v>900</v>
      </c>
    </row>
    <row r="9" spans="1:8" x14ac:dyDescent="0.3">
      <c r="A9" s="1">
        <v>46211</v>
      </c>
      <c r="B9" t="s">
        <v>14</v>
      </c>
      <c r="C9" t="s">
        <v>56</v>
      </c>
      <c r="D9">
        <v>620</v>
      </c>
      <c r="E9">
        <v>35</v>
      </c>
      <c r="F9" t="s">
        <v>10</v>
      </c>
      <c r="G9">
        <v>1</v>
      </c>
      <c r="H9">
        <f t="shared" si="0"/>
        <v>620</v>
      </c>
    </row>
    <row r="10" spans="1:8" x14ac:dyDescent="0.3">
      <c r="A10" s="1">
        <v>46212</v>
      </c>
      <c r="B10" t="s">
        <v>17</v>
      </c>
      <c r="C10" t="s">
        <v>59</v>
      </c>
      <c r="D10">
        <v>750</v>
      </c>
      <c r="E10">
        <v>28</v>
      </c>
      <c r="F10" t="s">
        <v>10</v>
      </c>
      <c r="G10">
        <v>1</v>
      </c>
      <c r="H10">
        <f t="shared" si="0"/>
        <v>750</v>
      </c>
    </row>
    <row r="11" spans="1:8" x14ac:dyDescent="0.3">
      <c r="A11" s="1">
        <v>46213</v>
      </c>
      <c r="B11" t="s">
        <v>19</v>
      </c>
      <c r="C11" t="s">
        <v>62</v>
      </c>
      <c r="D11">
        <v>480</v>
      </c>
      <c r="E11">
        <v>52</v>
      </c>
      <c r="F11" t="s">
        <v>15</v>
      </c>
      <c r="G11">
        <v>1</v>
      </c>
      <c r="H11">
        <f t="shared" si="0"/>
        <v>480</v>
      </c>
    </row>
    <row r="12" spans="1:8" x14ac:dyDescent="0.3">
      <c r="A12" s="1">
        <v>46214</v>
      </c>
      <c r="B12" t="s">
        <v>9</v>
      </c>
      <c r="C12" t="s">
        <v>50</v>
      </c>
      <c r="D12">
        <v>680</v>
      </c>
      <c r="E12">
        <v>27</v>
      </c>
      <c r="F12" t="s">
        <v>10</v>
      </c>
      <c r="G12">
        <v>1</v>
      </c>
      <c r="H12">
        <f t="shared" si="0"/>
        <v>680</v>
      </c>
    </row>
    <row r="13" spans="1:8" x14ac:dyDescent="0.3">
      <c r="A13" s="1">
        <v>46215</v>
      </c>
      <c r="B13" t="s">
        <v>12</v>
      </c>
      <c r="C13" t="s">
        <v>53</v>
      </c>
      <c r="D13">
        <v>560</v>
      </c>
      <c r="E13">
        <v>44</v>
      </c>
      <c r="F13" t="s">
        <v>10</v>
      </c>
      <c r="G13">
        <v>1</v>
      </c>
      <c r="H13">
        <f t="shared" si="0"/>
        <v>560</v>
      </c>
    </row>
    <row r="14" spans="1:8" x14ac:dyDescent="0.3">
      <c r="A14" s="1">
        <v>46216</v>
      </c>
      <c r="B14" t="s">
        <v>14</v>
      </c>
      <c r="C14" t="s">
        <v>56</v>
      </c>
      <c r="D14">
        <v>800</v>
      </c>
      <c r="E14">
        <v>58</v>
      </c>
      <c r="F14" t="s">
        <v>22</v>
      </c>
      <c r="G14">
        <v>1</v>
      </c>
      <c r="H14">
        <f t="shared" si="0"/>
        <v>800</v>
      </c>
    </row>
    <row r="15" spans="1:8" x14ac:dyDescent="0.3">
      <c r="A15" s="1">
        <v>46217</v>
      </c>
      <c r="B15" t="s">
        <v>17</v>
      </c>
      <c r="C15" t="s">
        <v>59</v>
      </c>
      <c r="D15">
        <v>920</v>
      </c>
      <c r="E15">
        <v>31</v>
      </c>
      <c r="F15" t="s">
        <v>10</v>
      </c>
      <c r="G15">
        <v>1</v>
      </c>
      <c r="H15">
        <f t="shared" si="0"/>
        <v>920</v>
      </c>
    </row>
    <row r="16" spans="1:8" x14ac:dyDescent="0.3">
      <c r="A16" s="1">
        <v>46218</v>
      </c>
      <c r="B16" t="s">
        <v>19</v>
      </c>
      <c r="C16" t="s">
        <v>62</v>
      </c>
      <c r="D16">
        <v>610</v>
      </c>
      <c r="E16">
        <v>24</v>
      </c>
      <c r="F16" t="s">
        <v>10</v>
      </c>
      <c r="G16">
        <v>1</v>
      </c>
      <c r="H16">
        <f t="shared" si="0"/>
        <v>610</v>
      </c>
    </row>
    <row r="17" spans="1:8" x14ac:dyDescent="0.3">
      <c r="A17" s="1">
        <v>46219</v>
      </c>
      <c r="B17" t="s">
        <v>9</v>
      </c>
      <c r="C17" t="s">
        <v>50</v>
      </c>
      <c r="D17">
        <v>530</v>
      </c>
      <c r="E17">
        <v>39</v>
      </c>
      <c r="F17" t="s">
        <v>10</v>
      </c>
      <c r="G17">
        <v>1</v>
      </c>
      <c r="H17">
        <f t="shared" si="0"/>
        <v>530</v>
      </c>
    </row>
    <row r="18" spans="1:8" x14ac:dyDescent="0.3">
      <c r="A18" s="1">
        <v>46220</v>
      </c>
      <c r="B18" t="s">
        <v>12</v>
      </c>
      <c r="C18" t="s">
        <v>53</v>
      </c>
      <c r="D18">
        <v>700</v>
      </c>
      <c r="E18">
        <v>46</v>
      </c>
      <c r="F18" t="s">
        <v>10</v>
      </c>
      <c r="G18">
        <v>1</v>
      </c>
      <c r="H18">
        <f t="shared" si="0"/>
        <v>700</v>
      </c>
    </row>
    <row r="19" spans="1:8" x14ac:dyDescent="0.3">
      <c r="A19" s="1">
        <v>46221</v>
      </c>
      <c r="B19" t="s">
        <v>14</v>
      </c>
      <c r="C19" t="s">
        <v>56</v>
      </c>
      <c r="D19">
        <v>850</v>
      </c>
      <c r="E19">
        <v>29</v>
      </c>
      <c r="F19" t="s">
        <v>10</v>
      </c>
      <c r="G19">
        <v>1</v>
      </c>
      <c r="H19">
        <f t="shared" si="0"/>
        <v>850</v>
      </c>
    </row>
    <row r="20" spans="1:8" x14ac:dyDescent="0.3">
      <c r="A20" s="1">
        <v>46222</v>
      </c>
      <c r="B20" t="s">
        <v>17</v>
      </c>
      <c r="C20" t="s">
        <v>59</v>
      </c>
      <c r="D20">
        <v>450</v>
      </c>
      <c r="E20">
        <v>61</v>
      </c>
      <c r="F20" t="s">
        <v>22</v>
      </c>
      <c r="G20">
        <v>1</v>
      </c>
      <c r="H20">
        <f t="shared" si="0"/>
        <v>450</v>
      </c>
    </row>
    <row r="21" spans="1:8" x14ac:dyDescent="0.3">
      <c r="A21" s="1">
        <v>46223</v>
      </c>
      <c r="B21" t="s">
        <v>19</v>
      </c>
      <c r="C21" t="s">
        <v>62</v>
      </c>
      <c r="D21">
        <v>670</v>
      </c>
      <c r="E21">
        <v>33</v>
      </c>
      <c r="F21" t="s">
        <v>10</v>
      </c>
      <c r="G21">
        <v>1</v>
      </c>
      <c r="H21">
        <f t="shared" si="0"/>
        <v>670</v>
      </c>
    </row>
    <row r="22" spans="1:8" x14ac:dyDescent="0.3">
      <c r="A22" s="1">
        <v>46224</v>
      </c>
      <c r="B22" t="s">
        <v>9</v>
      </c>
      <c r="C22" t="s">
        <v>50</v>
      </c>
      <c r="D22">
        <v>780</v>
      </c>
      <c r="E22">
        <v>26</v>
      </c>
      <c r="F22" t="s">
        <v>10</v>
      </c>
      <c r="G22">
        <v>1</v>
      </c>
      <c r="H22">
        <f t="shared" si="0"/>
        <v>780</v>
      </c>
    </row>
    <row r="23" spans="1:8" x14ac:dyDescent="0.3">
      <c r="A23" s="1">
        <v>46225</v>
      </c>
      <c r="B23" t="s">
        <v>12</v>
      </c>
      <c r="C23" t="s">
        <v>53</v>
      </c>
      <c r="D23">
        <v>590</v>
      </c>
      <c r="E23">
        <v>50</v>
      </c>
      <c r="F23" t="s">
        <v>15</v>
      </c>
      <c r="G23">
        <v>1</v>
      </c>
      <c r="H23">
        <f t="shared" si="0"/>
        <v>590</v>
      </c>
    </row>
    <row r="24" spans="1:8" x14ac:dyDescent="0.3">
      <c r="A24" s="1">
        <v>46226</v>
      </c>
      <c r="B24" t="s">
        <v>14</v>
      </c>
      <c r="C24" t="s">
        <v>56</v>
      </c>
      <c r="D24">
        <v>730</v>
      </c>
      <c r="E24">
        <v>37</v>
      </c>
      <c r="F24" t="s">
        <v>10</v>
      </c>
      <c r="G24">
        <v>1</v>
      </c>
      <c r="H24">
        <f t="shared" si="0"/>
        <v>730</v>
      </c>
    </row>
    <row r="25" spans="1:8" x14ac:dyDescent="0.3">
      <c r="A25" s="1">
        <v>46227</v>
      </c>
      <c r="B25" t="s">
        <v>17</v>
      </c>
      <c r="C25" t="s">
        <v>59</v>
      </c>
      <c r="D25">
        <v>640</v>
      </c>
      <c r="E25">
        <v>45</v>
      </c>
      <c r="F25" t="s">
        <v>10</v>
      </c>
      <c r="G25">
        <v>1</v>
      </c>
      <c r="H25">
        <f t="shared" si="0"/>
        <v>640</v>
      </c>
    </row>
    <row r="26" spans="1:8" x14ac:dyDescent="0.3">
      <c r="A26" s="1">
        <v>46228</v>
      </c>
      <c r="B26" t="s">
        <v>19</v>
      </c>
      <c r="C26" t="s">
        <v>62</v>
      </c>
      <c r="D26">
        <v>950</v>
      </c>
      <c r="E26">
        <v>68</v>
      </c>
      <c r="F26" t="s">
        <v>22</v>
      </c>
      <c r="G26">
        <v>1</v>
      </c>
      <c r="H26">
        <f t="shared" si="0"/>
        <v>950</v>
      </c>
    </row>
    <row r="27" spans="1:8" x14ac:dyDescent="0.3">
      <c r="A27" s="1">
        <v>46229</v>
      </c>
      <c r="B27" t="s">
        <v>9</v>
      </c>
      <c r="C27" t="s">
        <v>50</v>
      </c>
      <c r="D27">
        <v>520</v>
      </c>
      <c r="E27">
        <v>21</v>
      </c>
      <c r="F27" t="s">
        <v>10</v>
      </c>
      <c r="G27">
        <v>1</v>
      </c>
      <c r="H27">
        <f t="shared" si="0"/>
        <v>520</v>
      </c>
    </row>
    <row r="28" spans="1:8" x14ac:dyDescent="0.3">
      <c r="A28" s="1">
        <v>46230</v>
      </c>
      <c r="B28" t="s">
        <v>12</v>
      </c>
      <c r="C28" t="s">
        <v>53</v>
      </c>
      <c r="D28">
        <v>610</v>
      </c>
      <c r="E28">
        <v>34</v>
      </c>
      <c r="F28" t="s">
        <v>10</v>
      </c>
      <c r="G28">
        <v>1</v>
      </c>
      <c r="H28">
        <f t="shared" si="0"/>
        <v>610</v>
      </c>
    </row>
    <row r="29" spans="1:8" x14ac:dyDescent="0.3">
      <c r="A29" s="1">
        <v>46231</v>
      </c>
      <c r="B29" t="s">
        <v>14</v>
      </c>
      <c r="C29" t="s">
        <v>56</v>
      </c>
      <c r="D29">
        <v>880</v>
      </c>
      <c r="E29">
        <v>49</v>
      </c>
      <c r="F29" t="s">
        <v>10</v>
      </c>
      <c r="G29">
        <v>1</v>
      </c>
      <c r="H29">
        <f t="shared" si="0"/>
        <v>880</v>
      </c>
    </row>
    <row r="30" spans="1:8" x14ac:dyDescent="0.3">
      <c r="A30" s="1">
        <v>46232</v>
      </c>
      <c r="B30" t="s">
        <v>17</v>
      </c>
      <c r="C30" t="s">
        <v>59</v>
      </c>
      <c r="D30">
        <v>760</v>
      </c>
      <c r="E30">
        <v>27</v>
      </c>
      <c r="F30" t="s">
        <v>10</v>
      </c>
      <c r="G30">
        <v>1</v>
      </c>
      <c r="H30">
        <f t="shared" si="0"/>
        <v>760</v>
      </c>
    </row>
    <row r="31" spans="1:8" x14ac:dyDescent="0.3">
      <c r="A31" s="1">
        <v>46233</v>
      </c>
      <c r="B31" t="s">
        <v>19</v>
      </c>
      <c r="C31" t="s">
        <v>62</v>
      </c>
      <c r="D31">
        <v>540</v>
      </c>
      <c r="E31">
        <v>43</v>
      </c>
      <c r="F31" t="s">
        <v>10</v>
      </c>
      <c r="G31">
        <v>1</v>
      </c>
      <c r="H31">
        <f t="shared" si="0"/>
        <v>540</v>
      </c>
    </row>
    <row r="32" spans="1:8" x14ac:dyDescent="0.3">
      <c r="A32" s="1">
        <v>46234</v>
      </c>
      <c r="B32" t="s">
        <v>9</v>
      </c>
      <c r="C32" t="s">
        <v>50</v>
      </c>
      <c r="D32">
        <v>620</v>
      </c>
      <c r="E32">
        <v>32</v>
      </c>
      <c r="F32" t="s">
        <v>10</v>
      </c>
      <c r="G32">
        <v>1</v>
      </c>
      <c r="H32">
        <f t="shared" si="0"/>
        <v>620</v>
      </c>
    </row>
    <row r="33" spans="1:8" x14ac:dyDescent="0.3">
      <c r="A33" s="1">
        <v>46235</v>
      </c>
      <c r="B33" t="s">
        <v>12</v>
      </c>
      <c r="C33" t="s">
        <v>53</v>
      </c>
      <c r="D33">
        <v>570</v>
      </c>
      <c r="E33">
        <v>41</v>
      </c>
      <c r="F33" t="s">
        <v>10</v>
      </c>
      <c r="G33">
        <v>1</v>
      </c>
      <c r="H33">
        <f t="shared" si="0"/>
        <v>570</v>
      </c>
    </row>
    <row r="34" spans="1:8" x14ac:dyDescent="0.3">
      <c r="A34" s="1">
        <v>46236</v>
      </c>
      <c r="B34" t="s">
        <v>14</v>
      </c>
      <c r="C34" t="s">
        <v>56</v>
      </c>
      <c r="D34">
        <v>810</v>
      </c>
      <c r="E34">
        <v>36</v>
      </c>
      <c r="F34" t="s">
        <v>10</v>
      </c>
      <c r="G34">
        <v>1</v>
      </c>
      <c r="H34">
        <f t="shared" ref="H34:H52" si="1">D34/G34</f>
        <v>810</v>
      </c>
    </row>
    <row r="35" spans="1:8" x14ac:dyDescent="0.3">
      <c r="A35" s="1">
        <v>46237</v>
      </c>
      <c r="B35" t="s">
        <v>17</v>
      </c>
      <c r="C35" t="s">
        <v>59</v>
      </c>
      <c r="D35">
        <v>690</v>
      </c>
      <c r="E35">
        <v>47</v>
      </c>
      <c r="F35" t="s">
        <v>10</v>
      </c>
      <c r="G35">
        <v>1</v>
      </c>
      <c r="H35">
        <f t="shared" si="1"/>
        <v>690</v>
      </c>
    </row>
    <row r="36" spans="1:8" x14ac:dyDescent="0.3">
      <c r="A36" s="1">
        <v>46238</v>
      </c>
      <c r="B36" t="s">
        <v>19</v>
      </c>
      <c r="C36" t="s">
        <v>62</v>
      </c>
      <c r="D36">
        <v>580</v>
      </c>
      <c r="E36">
        <v>29</v>
      </c>
      <c r="F36" t="s">
        <v>10</v>
      </c>
      <c r="G36">
        <v>1</v>
      </c>
      <c r="H36">
        <f t="shared" si="1"/>
        <v>580</v>
      </c>
    </row>
    <row r="37" spans="1:8" x14ac:dyDescent="0.3">
      <c r="A37" s="1">
        <v>46239</v>
      </c>
      <c r="B37" t="s">
        <v>9</v>
      </c>
      <c r="C37" t="s">
        <v>50</v>
      </c>
      <c r="D37">
        <v>730</v>
      </c>
      <c r="E37">
        <v>24</v>
      </c>
      <c r="F37" t="s">
        <v>10</v>
      </c>
      <c r="G37">
        <v>1</v>
      </c>
      <c r="H37">
        <f t="shared" si="1"/>
        <v>730</v>
      </c>
    </row>
    <row r="38" spans="1:8" x14ac:dyDescent="0.3">
      <c r="A38" s="1">
        <v>46240</v>
      </c>
      <c r="B38" t="s">
        <v>12</v>
      </c>
      <c r="C38" t="s">
        <v>53</v>
      </c>
      <c r="D38">
        <v>640</v>
      </c>
      <c r="E38">
        <v>55</v>
      </c>
      <c r="F38" t="s">
        <v>22</v>
      </c>
      <c r="G38">
        <v>1</v>
      </c>
      <c r="H38">
        <f t="shared" si="1"/>
        <v>640</v>
      </c>
    </row>
    <row r="39" spans="1:8" x14ac:dyDescent="0.3">
      <c r="A39" s="1">
        <v>46241</v>
      </c>
      <c r="B39" t="s">
        <v>14</v>
      </c>
      <c r="C39" t="s">
        <v>56</v>
      </c>
      <c r="D39">
        <v>770</v>
      </c>
      <c r="E39">
        <v>33</v>
      </c>
      <c r="F39" t="s">
        <v>10</v>
      </c>
      <c r="G39">
        <v>1</v>
      </c>
      <c r="H39">
        <f t="shared" si="1"/>
        <v>770</v>
      </c>
    </row>
    <row r="40" spans="1:8" x14ac:dyDescent="0.3">
      <c r="A40" s="1">
        <v>46242</v>
      </c>
      <c r="B40" t="s">
        <v>17</v>
      </c>
      <c r="C40" t="s">
        <v>59</v>
      </c>
      <c r="D40">
        <v>820</v>
      </c>
      <c r="E40">
        <v>40</v>
      </c>
      <c r="F40" t="s">
        <v>10</v>
      </c>
      <c r="G40">
        <v>1</v>
      </c>
      <c r="H40">
        <f t="shared" si="1"/>
        <v>820</v>
      </c>
    </row>
    <row r="41" spans="1:8" x14ac:dyDescent="0.3">
      <c r="A41" s="1">
        <v>46243</v>
      </c>
      <c r="B41" t="s">
        <v>19</v>
      </c>
      <c r="C41" t="s">
        <v>62</v>
      </c>
      <c r="D41">
        <v>600</v>
      </c>
      <c r="E41">
        <v>38</v>
      </c>
      <c r="F41" t="s">
        <v>10</v>
      </c>
      <c r="G41">
        <v>1</v>
      </c>
      <c r="H41">
        <f t="shared" si="1"/>
        <v>600</v>
      </c>
    </row>
    <row r="42" spans="1:8" x14ac:dyDescent="0.3">
      <c r="A42" s="1">
        <v>46244</v>
      </c>
      <c r="B42" t="s">
        <v>9</v>
      </c>
      <c r="C42" t="s">
        <v>50</v>
      </c>
      <c r="D42">
        <v>690</v>
      </c>
      <c r="E42">
        <v>31</v>
      </c>
      <c r="F42" t="s">
        <v>10</v>
      </c>
      <c r="G42">
        <v>1</v>
      </c>
      <c r="H42">
        <f t="shared" si="1"/>
        <v>690</v>
      </c>
    </row>
    <row r="43" spans="1:8" x14ac:dyDescent="0.3">
      <c r="A43" s="1">
        <v>46245</v>
      </c>
      <c r="B43" t="s">
        <v>12</v>
      </c>
      <c r="C43" t="s">
        <v>53</v>
      </c>
      <c r="D43">
        <v>520</v>
      </c>
      <c r="E43">
        <v>28</v>
      </c>
      <c r="F43" t="s">
        <v>10</v>
      </c>
      <c r="G43">
        <v>1</v>
      </c>
      <c r="H43">
        <f t="shared" si="1"/>
        <v>520</v>
      </c>
    </row>
    <row r="44" spans="1:8" x14ac:dyDescent="0.3">
      <c r="A44" s="1">
        <v>46246</v>
      </c>
      <c r="B44" t="s">
        <v>14</v>
      </c>
      <c r="C44" t="s">
        <v>56</v>
      </c>
      <c r="D44">
        <v>900</v>
      </c>
      <c r="E44">
        <v>62</v>
      </c>
      <c r="F44" t="s">
        <v>22</v>
      </c>
      <c r="G44">
        <v>1</v>
      </c>
      <c r="H44">
        <f t="shared" si="1"/>
        <v>900</v>
      </c>
    </row>
    <row r="45" spans="1:8" x14ac:dyDescent="0.3">
      <c r="A45" s="1">
        <v>46247</v>
      </c>
      <c r="B45" t="s">
        <v>17</v>
      </c>
      <c r="C45" t="s">
        <v>59</v>
      </c>
      <c r="D45">
        <v>710</v>
      </c>
      <c r="E45">
        <v>34</v>
      </c>
      <c r="F45" t="s">
        <v>10</v>
      </c>
      <c r="G45">
        <v>1</v>
      </c>
      <c r="H45">
        <f t="shared" si="1"/>
        <v>710</v>
      </c>
    </row>
    <row r="46" spans="1:8" x14ac:dyDescent="0.3">
      <c r="A46" s="1">
        <v>46248</v>
      </c>
      <c r="B46" t="s">
        <v>19</v>
      </c>
      <c r="C46" t="s">
        <v>62</v>
      </c>
      <c r="D46">
        <v>630</v>
      </c>
      <c r="E46">
        <v>26</v>
      </c>
      <c r="F46" t="s">
        <v>10</v>
      </c>
      <c r="G46">
        <v>1</v>
      </c>
      <c r="H46">
        <f t="shared" si="1"/>
        <v>630</v>
      </c>
    </row>
    <row r="47" spans="1:8" x14ac:dyDescent="0.3">
      <c r="A47" s="1">
        <v>46249</v>
      </c>
      <c r="B47" t="s">
        <v>9</v>
      </c>
      <c r="C47" t="s">
        <v>50</v>
      </c>
      <c r="D47">
        <v>560</v>
      </c>
      <c r="E47">
        <v>45</v>
      </c>
      <c r="F47" t="s">
        <v>10</v>
      </c>
      <c r="G47">
        <v>1</v>
      </c>
      <c r="H47">
        <f t="shared" si="1"/>
        <v>560</v>
      </c>
    </row>
    <row r="48" spans="1:8" x14ac:dyDescent="0.3">
      <c r="A48" s="1">
        <v>46250</v>
      </c>
      <c r="B48" t="s">
        <v>12</v>
      </c>
      <c r="C48" t="s">
        <v>53</v>
      </c>
      <c r="D48">
        <v>680</v>
      </c>
      <c r="E48">
        <v>37</v>
      </c>
      <c r="F48" t="s">
        <v>10</v>
      </c>
      <c r="G48">
        <v>1</v>
      </c>
      <c r="H48">
        <f t="shared" si="1"/>
        <v>680</v>
      </c>
    </row>
    <row r="49" spans="1:8" x14ac:dyDescent="0.3">
      <c r="A49" s="1">
        <v>46251</v>
      </c>
      <c r="B49" t="s">
        <v>14</v>
      </c>
      <c r="C49" t="s">
        <v>56</v>
      </c>
      <c r="D49">
        <v>740</v>
      </c>
      <c r="E49">
        <v>30</v>
      </c>
      <c r="F49" t="s">
        <v>10</v>
      </c>
      <c r="G49">
        <v>1</v>
      </c>
      <c r="H49">
        <f t="shared" si="1"/>
        <v>740</v>
      </c>
    </row>
    <row r="50" spans="1:8" x14ac:dyDescent="0.3">
      <c r="A50" s="1">
        <v>46252</v>
      </c>
      <c r="B50" t="s">
        <v>17</v>
      </c>
      <c r="C50" t="s">
        <v>59</v>
      </c>
      <c r="D50">
        <v>860</v>
      </c>
      <c r="E50">
        <v>51</v>
      </c>
      <c r="F50" t="s">
        <v>15</v>
      </c>
      <c r="G50">
        <v>1</v>
      </c>
      <c r="H50">
        <f t="shared" si="1"/>
        <v>860</v>
      </c>
    </row>
    <row r="51" spans="1:8" x14ac:dyDescent="0.3">
      <c r="A51" s="1">
        <v>46253</v>
      </c>
      <c r="B51" t="s">
        <v>19</v>
      </c>
      <c r="C51" t="s">
        <v>62</v>
      </c>
      <c r="D51">
        <v>590</v>
      </c>
      <c r="E51">
        <v>23</v>
      </c>
      <c r="F51" t="s">
        <v>10</v>
      </c>
      <c r="G51">
        <v>1</v>
      </c>
      <c r="H51">
        <f t="shared" si="1"/>
        <v>590</v>
      </c>
    </row>
    <row r="52" spans="1:8" x14ac:dyDescent="0.3">
      <c r="A52" s="1">
        <v>46254</v>
      </c>
      <c r="B52" t="s">
        <v>9</v>
      </c>
      <c r="C52" t="s">
        <v>50</v>
      </c>
      <c r="D52">
        <v>810</v>
      </c>
      <c r="E52">
        <v>42</v>
      </c>
      <c r="F52" t="s">
        <v>10</v>
      </c>
      <c r="G52">
        <v>1</v>
      </c>
      <c r="H52">
        <f t="shared" si="1"/>
        <v>810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A5A40-866B-4212-9514-2B1001968352}">
  <dimension ref="A3:G10"/>
  <sheetViews>
    <sheetView workbookViewId="0">
      <selection activeCell="B17" sqref="B17"/>
    </sheetView>
  </sheetViews>
  <sheetFormatPr defaultRowHeight="14.4" x14ac:dyDescent="0.3"/>
  <cols>
    <col min="1" max="1" width="24.6640625" bestFit="1" customWidth="1"/>
    <col min="2" max="2" width="15.5546875" bestFit="1" customWidth="1"/>
    <col min="3" max="3" width="4.5546875" bestFit="1" customWidth="1"/>
    <col min="4" max="4" width="5.6640625" bestFit="1" customWidth="1"/>
    <col min="5" max="5" width="5.77734375" bestFit="1" customWidth="1"/>
    <col min="6" max="6" width="5.21875" bestFit="1" customWidth="1"/>
    <col min="7" max="7" width="12" bestFit="1" customWidth="1"/>
  </cols>
  <sheetData>
    <row r="3" spans="1:7" x14ac:dyDescent="0.3">
      <c r="A3" s="4" t="s">
        <v>98</v>
      </c>
      <c r="B3" s="4" t="s">
        <v>91</v>
      </c>
    </row>
    <row r="4" spans="1:7" x14ac:dyDescent="0.3">
      <c r="A4" s="4" t="s">
        <v>89</v>
      </c>
      <c r="B4" t="s">
        <v>50</v>
      </c>
      <c r="C4" t="s">
        <v>62</v>
      </c>
      <c r="D4" t="s">
        <v>53</v>
      </c>
      <c r="E4" t="s">
        <v>56</v>
      </c>
      <c r="F4" t="s">
        <v>59</v>
      </c>
      <c r="G4" t="s">
        <v>90</v>
      </c>
    </row>
    <row r="5" spans="1:7" x14ac:dyDescent="0.3">
      <c r="A5" s="5" t="s">
        <v>12</v>
      </c>
      <c r="D5">
        <v>622</v>
      </c>
      <c r="G5">
        <v>622</v>
      </c>
    </row>
    <row r="6" spans="1:7" x14ac:dyDescent="0.3">
      <c r="A6" s="5" t="s">
        <v>19</v>
      </c>
      <c r="C6">
        <v>620</v>
      </c>
      <c r="G6">
        <v>620</v>
      </c>
    </row>
    <row r="7" spans="1:7" x14ac:dyDescent="0.3">
      <c r="A7" s="5" t="s">
        <v>9</v>
      </c>
      <c r="B7">
        <v>633.63636363636363</v>
      </c>
      <c r="G7">
        <v>633.63636363636363</v>
      </c>
    </row>
    <row r="8" spans="1:7" x14ac:dyDescent="0.3">
      <c r="A8" s="5" t="s">
        <v>14</v>
      </c>
      <c r="E8">
        <v>782</v>
      </c>
      <c r="G8">
        <v>782</v>
      </c>
    </row>
    <row r="9" spans="1:7" x14ac:dyDescent="0.3">
      <c r="A9" s="5" t="s">
        <v>17</v>
      </c>
      <c r="F9">
        <v>745</v>
      </c>
      <c r="G9">
        <v>745</v>
      </c>
    </row>
    <row r="10" spans="1:7" x14ac:dyDescent="0.3">
      <c r="A10" s="5" t="s">
        <v>90</v>
      </c>
      <c r="B10">
        <v>633.63636363636363</v>
      </c>
      <c r="C10">
        <v>620</v>
      </c>
      <c r="D10">
        <v>622</v>
      </c>
      <c r="E10">
        <v>782</v>
      </c>
      <c r="F10">
        <v>745</v>
      </c>
      <c r="G10">
        <v>679.60784313725492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F980-BBC0-4ECC-852E-EB204A6F9CE4}">
  <dimension ref="A3:B7"/>
  <sheetViews>
    <sheetView workbookViewId="0">
      <selection activeCell="M6" sqref="M6"/>
    </sheetView>
  </sheetViews>
  <sheetFormatPr defaultRowHeight="14.4" x14ac:dyDescent="0.3"/>
  <cols>
    <col min="1" max="1" width="12.44140625" bestFit="1" customWidth="1"/>
    <col min="2" max="2" width="16.88671875" bestFit="1" customWidth="1"/>
  </cols>
  <sheetData>
    <row r="3" spans="1:2" x14ac:dyDescent="0.3">
      <c r="A3" s="4" t="s">
        <v>89</v>
      </c>
      <c r="B3" t="s">
        <v>94</v>
      </c>
    </row>
    <row r="4" spans="1:2" x14ac:dyDescent="0.3">
      <c r="A4" s="5" t="s">
        <v>95</v>
      </c>
      <c r="B4">
        <v>51</v>
      </c>
    </row>
    <row r="5" spans="1:2" x14ac:dyDescent="0.3">
      <c r="A5" s="6" t="s">
        <v>92</v>
      </c>
      <c r="B5">
        <v>31</v>
      </c>
    </row>
    <row r="6" spans="1:2" x14ac:dyDescent="0.3">
      <c r="A6" s="6" t="s">
        <v>93</v>
      </c>
      <c r="B6">
        <v>20</v>
      </c>
    </row>
    <row r="7" spans="1:2" x14ac:dyDescent="0.3">
      <c r="A7" s="5" t="s">
        <v>90</v>
      </c>
      <c r="B7">
        <v>51</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5CBF4-EEE5-4A70-8625-8619E3712FB9}">
  <dimension ref="A1:J52"/>
  <sheetViews>
    <sheetView workbookViewId="0">
      <selection activeCell="J3" sqref="J3"/>
    </sheetView>
  </sheetViews>
  <sheetFormatPr defaultRowHeight="14.4" x14ac:dyDescent="0.3"/>
  <cols>
    <col min="1" max="1" width="11.5546875" customWidth="1"/>
    <col min="2" max="2" width="9.109375" customWidth="1"/>
    <col min="4" max="4" width="9.88671875" customWidth="1"/>
    <col min="5" max="5" width="14.109375" customWidth="1"/>
    <col min="7" max="7" width="12.88671875" bestFit="1" customWidth="1"/>
    <col min="8" max="8" width="17.88671875" bestFit="1" customWidth="1"/>
  </cols>
  <sheetData>
    <row r="1" spans="1:10" x14ac:dyDescent="0.3">
      <c r="A1" t="s">
        <v>3</v>
      </c>
      <c r="B1" t="s">
        <v>2</v>
      </c>
      <c r="C1" t="s">
        <v>46</v>
      </c>
      <c r="D1" t="s">
        <v>6</v>
      </c>
      <c r="E1" t="s">
        <v>87</v>
      </c>
      <c r="F1" t="s">
        <v>7</v>
      </c>
      <c r="G1" t="s">
        <v>96</v>
      </c>
      <c r="H1" t="s">
        <v>97</v>
      </c>
      <c r="I1" t="s">
        <v>5</v>
      </c>
      <c r="J1" t="s">
        <v>113</v>
      </c>
    </row>
    <row r="2" spans="1:10" x14ac:dyDescent="0.3">
      <c r="A2" s="1">
        <v>46204</v>
      </c>
      <c r="B2" t="s">
        <v>9</v>
      </c>
      <c r="C2" t="s">
        <v>50</v>
      </c>
      <c r="D2">
        <v>650</v>
      </c>
      <c r="E2">
        <v>25</v>
      </c>
      <c r="F2" t="s">
        <v>10</v>
      </c>
      <c r="G2">
        <v>1</v>
      </c>
      <c r="H2">
        <f t="shared" ref="H2:H52" si="0">D2/G2</f>
        <v>650</v>
      </c>
      <c r="I2">
        <v>5</v>
      </c>
      <c r="J2" t="str">
        <f>IF(OR(E2&lt;'Stats Summary'!$B$13,E2&gt;'Stats Summary'!$B$14),"Yes","No")</f>
        <v>No</v>
      </c>
    </row>
    <row r="3" spans="1:10" x14ac:dyDescent="0.3">
      <c r="A3" s="1">
        <v>46205</v>
      </c>
      <c r="B3" t="s">
        <v>12</v>
      </c>
      <c r="C3" t="s">
        <v>53</v>
      </c>
      <c r="D3">
        <v>450</v>
      </c>
      <c r="E3">
        <v>42</v>
      </c>
      <c r="F3" t="s">
        <v>10</v>
      </c>
      <c r="G3">
        <v>1</v>
      </c>
      <c r="H3">
        <f t="shared" si="0"/>
        <v>450</v>
      </c>
      <c r="I3">
        <v>4</v>
      </c>
      <c r="J3" t="str">
        <f>IF(OR(E3&lt;'Stats Summary'!$B$13,E3&gt;'Stats Summary'!$B$14),"Yes","No")</f>
        <v>No</v>
      </c>
    </row>
    <row r="4" spans="1:10" x14ac:dyDescent="0.3">
      <c r="A4" s="1">
        <v>46206</v>
      </c>
      <c r="B4" t="s">
        <v>14</v>
      </c>
      <c r="C4" t="s">
        <v>56</v>
      </c>
      <c r="D4">
        <v>720</v>
      </c>
      <c r="E4">
        <v>35</v>
      </c>
      <c r="F4" t="s">
        <v>10</v>
      </c>
      <c r="G4">
        <v>1</v>
      </c>
      <c r="H4">
        <f t="shared" si="0"/>
        <v>720</v>
      </c>
      <c r="I4">
        <v>4</v>
      </c>
      <c r="J4" t="str">
        <f>IF(OR(E4&lt;'Stats Summary'!$B$13,E4&gt;'Stats Summary'!$B$14),"Yes","No")</f>
        <v>No</v>
      </c>
    </row>
    <row r="5" spans="1:10" x14ac:dyDescent="0.3">
      <c r="A5" s="1">
        <v>46207</v>
      </c>
      <c r="B5" t="s">
        <v>17</v>
      </c>
      <c r="C5" t="s">
        <v>59</v>
      </c>
      <c r="D5">
        <v>850</v>
      </c>
      <c r="E5">
        <v>30</v>
      </c>
      <c r="F5" t="s">
        <v>10</v>
      </c>
      <c r="G5">
        <v>1</v>
      </c>
      <c r="H5">
        <f t="shared" si="0"/>
        <v>850</v>
      </c>
      <c r="I5">
        <v>5</v>
      </c>
      <c r="J5" t="str">
        <f>IF(OR(E5&lt;'Stats Summary'!$B$13,E5&gt;'Stats Summary'!$B$14),"Yes","No")</f>
        <v>No</v>
      </c>
    </row>
    <row r="6" spans="1:10" x14ac:dyDescent="0.3">
      <c r="A6" s="1">
        <v>46208</v>
      </c>
      <c r="B6" t="s">
        <v>19</v>
      </c>
      <c r="C6" t="s">
        <v>62</v>
      </c>
      <c r="D6">
        <v>550</v>
      </c>
      <c r="E6">
        <v>48</v>
      </c>
      <c r="F6" t="s">
        <v>10</v>
      </c>
      <c r="G6">
        <v>1</v>
      </c>
      <c r="H6">
        <f t="shared" si="0"/>
        <v>550</v>
      </c>
      <c r="I6">
        <v>3</v>
      </c>
      <c r="J6" t="str">
        <f>IF(OR(E6&lt;'Stats Summary'!$B$13,E6&gt;'Stats Summary'!$B$14),"Yes","No")</f>
        <v>No</v>
      </c>
    </row>
    <row r="7" spans="1:10" x14ac:dyDescent="0.3">
      <c r="A7" s="1">
        <v>46209</v>
      </c>
      <c r="B7" t="s">
        <v>9</v>
      </c>
      <c r="C7" t="s">
        <v>50</v>
      </c>
      <c r="D7">
        <v>400</v>
      </c>
      <c r="E7">
        <v>22</v>
      </c>
      <c r="F7" t="s">
        <v>15</v>
      </c>
      <c r="G7">
        <v>1</v>
      </c>
      <c r="H7">
        <f t="shared" si="0"/>
        <v>400</v>
      </c>
      <c r="I7">
        <v>2</v>
      </c>
      <c r="J7" t="str">
        <f>IF(OR(E7&lt;'Stats Summary'!$B$13,E7&gt;'Stats Summary'!$B$14),"Yes","No")</f>
        <v>No</v>
      </c>
    </row>
    <row r="8" spans="1:10" x14ac:dyDescent="0.3">
      <c r="A8" s="1">
        <v>46210</v>
      </c>
      <c r="B8" t="s">
        <v>12</v>
      </c>
      <c r="C8" t="s">
        <v>53</v>
      </c>
      <c r="D8">
        <v>900</v>
      </c>
      <c r="E8">
        <v>65</v>
      </c>
      <c r="F8" t="s">
        <v>10</v>
      </c>
      <c r="G8">
        <v>1</v>
      </c>
      <c r="H8">
        <f t="shared" si="0"/>
        <v>900</v>
      </c>
      <c r="I8">
        <v>5</v>
      </c>
      <c r="J8" t="str">
        <f>IF(OR(E8&lt;'Stats Summary'!$B$13,E8&gt;'Stats Summary'!$B$14),"Yes","No")</f>
        <v>No</v>
      </c>
    </row>
    <row r="9" spans="1:10" x14ac:dyDescent="0.3">
      <c r="A9" s="1">
        <v>46211</v>
      </c>
      <c r="B9" t="s">
        <v>14</v>
      </c>
      <c r="C9" t="s">
        <v>56</v>
      </c>
      <c r="D9">
        <v>620</v>
      </c>
      <c r="E9">
        <v>35</v>
      </c>
      <c r="F9" t="s">
        <v>10</v>
      </c>
      <c r="G9">
        <v>1</v>
      </c>
      <c r="H9">
        <f t="shared" si="0"/>
        <v>620</v>
      </c>
      <c r="I9">
        <v>4</v>
      </c>
      <c r="J9" t="str">
        <f>IF(OR(E9&lt;'Stats Summary'!$B$13,E9&gt;'Stats Summary'!$B$14),"Yes","No")</f>
        <v>No</v>
      </c>
    </row>
    <row r="10" spans="1:10" x14ac:dyDescent="0.3">
      <c r="A10" s="1">
        <v>46212</v>
      </c>
      <c r="B10" t="s">
        <v>17</v>
      </c>
      <c r="C10" t="s">
        <v>59</v>
      </c>
      <c r="D10">
        <v>750</v>
      </c>
      <c r="E10">
        <v>28</v>
      </c>
      <c r="F10" t="s">
        <v>10</v>
      </c>
      <c r="G10">
        <v>1</v>
      </c>
      <c r="H10">
        <f t="shared" si="0"/>
        <v>750</v>
      </c>
      <c r="I10">
        <v>5</v>
      </c>
      <c r="J10" t="str">
        <f>IF(OR(E10&lt;'Stats Summary'!$B$13,E10&gt;'Stats Summary'!$B$14),"Yes","No")</f>
        <v>No</v>
      </c>
    </row>
    <row r="11" spans="1:10" x14ac:dyDescent="0.3">
      <c r="A11" s="1">
        <v>46213</v>
      </c>
      <c r="B11" t="s">
        <v>19</v>
      </c>
      <c r="C11" t="s">
        <v>62</v>
      </c>
      <c r="D11">
        <v>480</v>
      </c>
      <c r="E11">
        <v>52</v>
      </c>
      <c r="F11" t="s">
        <v>15</v>
      </c>
      <c r="G11">
        <v>1</v>
      </c>
      <c r="H11">
        <f t="shared" si="0"/>
        <v>480</v>
      </c>
      <c r="I11">
        <v>2</v>
      </c>
      <c r="J11" t="str">
        <f>IF(OR(E11&lt;'Stats Summary'!$B$13,E11&gt;'Stats Summary'!$B$14),"Yes","No")</f>
        <v>No</v>
      </c>
    </row>
    <row r="12" spans="1:10" x14ac:dyDescent="0.3">
      <c r="A12" s="1">
        <v>46214</v>
      </c>
      <c r="B12" t="s">
        <v>9</v>
      </c>
      <c r="C12" t="s">
        <v>50</v>
      </c>
      <c r="D12">
        <v>680</v>
      </c>
      <c r="E12">
        <v>27</v>
      </c>
      <c r="F12" t="s">
        <v>10</v>
      </c>
      <c r="G12">
        <v>1</v>
      </c>
      <c r="H12">
        <f t="shared" si="0"/>
        <v>680</v>
      </c>
      <c r="I12">
        <v>4</v>
      </c>
      <c r="J12" t="str">
        <f>IF(OR(E12&lt;'Stats Summary'!$B$13,E12&gt;'Stats Summary'!$B$14),"Yes","No")</f>
        <v>No</v>
      </c>
    </row>
    <row r="13" spans="1:10" x14ac:dyDescent="0.3">
      <c r="A13" s="1">
        <v>46215</v>
      </c>
      <c r="B13" t="s">
        <v>12</v>
      </c>
      <c r="C13" t="s">
        <v>53</v>
      </c>
      <c r="D13">
        <v>560</v>
      </c>
      <c r="E13">
        <v>44</v>
      </c>
      <c r="F13" t="s">
        <v>10</v>
      </c>
      <c r="G13">
        <v>1</v>
      </c>
      <c r="H13">
        <f t="shared" si="0"/>
        <v>560</v>
      </c>
      <c r="I13">
        <v>4</v>
      </c>
      <c r="J13" t="str">
        <f>IF(OR(E13&lt;'Stats Summary'!$B$13,E13&gt;'Stats Summary'!$B$14),"Yes","No")</f>
        <v>No</v>
      </c>
    </row>
    <row r="14" spans="1:10" x14ac:dyDescent="0.3">
      <c r="A14" s="1">
        <v>46216</v>
      </c>
      <c r="B14" t="s">
        <v>14</v>
      </c>
      <c r="C14" t="s">
        <v>56</v>
      </c>
      <c r="D14">
        <v>800</v>
      </c>
      <c r="E14">
        <v>58</v>
      </c>
      <c r="F14" t="s">
        <v>22</v>
      </c>
      <c r="G14">
        <v>1</v>
      </c>
      <c r="H14">
        <f t="shared" si="0"/>
        <v>800</v>
      </c>
      <c r="I14">
        <v>3</v>
      </c>
      <c r="J14" t="str">
        <f>IF(OR(E14&lt;'Stats Summary'!$B$13,E14&gt;'Stats Summary'!$B$14),"Yes","No")</f>
        <v>No</v>
      </c>
    </row>
    <row r="15" spans="1:10" x14ac:dyDescent="0.3">
      <c r="A15" s="1">
        <v>46217</v>
      </c>
      <c r="B15" t="s">
        <v>17</v>
      </c>
      <c r="C15" t="s">
        <v>59</v>
      </c>
      <c r="D15">
        <v>920</v>
      </c>
      <c r="E15">
        <v>31</v>
      </c>
      <c r="F15" t="s">
        <v>10</v>
      </c>
      <c r="G15">
        <v>1</v>
      </c>
      <c r="H15">
        <f t="shared" si="0"/>
        <v>920</v>
      </c>
      <c r="I15">
        <v>5</v>
      </c>
      <c r="J15" t="str">
        <f>IF(OR(E15&lt;'Stats Summary'!$B$13,E15&gt;'Stats Summary'!$B$14),"Yes","No")</f>
        <v>No</v>
      </c>
    </row>
    <row r="16" spans="1:10" x14ac:dyDescent="0.3">
      <c r="A16" s="1">
        <v>46218</v>
      </c>
      <c r="B16" t="s">
        <v>19</v>
      </c>
      <c r="C16" t="s">
        <v>62</v>
      </c>
      <c r="D16">
        <v>610</v>
      </c>
      <c r="E16">
        <v>24</v>
      </c>
      <c r="F16" t="s">
        <v>10</v>
      </c>
      <c r="G16">
        <v>1</v>
      </c>
      <c r="H16">
        <f t="shared" si="0"/>
        <v>610</v>
      </c>
      <c r="I16">
        <v>4</v>
      </c>
      <c r="J16" t="str">
        <f>IF(OR(E16&lt;'Stats Summary'!$B$13,E16&gt;'Stats Summary'!$B$14),"Yes","No")</f>
        <v>No</v>
      </c>
    </row>
    <row r="17" spans="1:10" x14ac:dyDescent="0.3">
      <c r="A17" s="1">
        <v>46219</v>
      </c>
      <c r="B17" t="s">
        <v>9</v>
      </c>
      <c r="C17" t="s">
        <v>50</v>
      </c>
      <c r="D17">
        <v>530</v>
      </c>
      <c r="E17">
        <v>39</v>
      </c>
      <c r="F17" t="s">
        <v>10</v>
      </c>
      <c r="G17">
        <v>1</v>
      </c>
      <c r="H17">
        <f t="shared" si="0"/>
        <v>530</v>
      </c>
      <c r="I17">
        <v>4</v>
      </c>
      <c r="J17" t="str">
        <f>IF(OR(E17&lt;'Stats Summary'!$B$13,E17&gt;'Stats Summary'!$B$14),"Yes","No")</f>
        <v>No</v>
      </c>
    </row>
    <row r="18" spans="1:10" x14ac:dyDescent="0.3">
      <c r="A18" s="1">
        <v>46220</v>
      </c>
      <c r="B18" t="s">
        <v>12</v>
      </c>
      <c r="C18" t="s">
        <v>53</v>
      </c>
      <c r="D18">
        <v>700</v>
      </c>
      <c r="E18">
        <v>46</v>
      </c>
      <c r="F18" t="s">
        <v>10</v>
      </c>
      <c r="G18">
        <v>1</v>
      </c>
      <c r="H18">
        <f t="shared" si="0"/>
        <v>700</v>
      </c>
      <c r="I18">
        <v>3</v>
      </c>
      <c r="J18" t="str">
        <f>IF(OR(E18&lt;'Stats Summary'!$B$13,E18&gt;'Stats Summary'!$B$14),"Yes","No")</f>
        <v>No</v>
      </c>
    </row>
    <row r="19" spans="1:10" x14ac:dyDescent="0.3">
      <c r="A19" s="1">
        <v>46221</v>
      </c>
      <c r="B19" t="s">
        <v>14</v>
      </c>
      <c r="C19" t="s">
        <v>56</v>
      </c>
      <c r="D19">
        <v>850</v>
      </c>
      <c r="E19">
        <v>29</v>
      </c>
      <c r="F19" t="s">
        <v>10</v>
      </c>
      <c r="G19">
        <v>1</v>
      </c>
      <c r="H19">
        <f t="shared" si="0"/>
        <v>850</v>
      </c>
      <c r="I19">
        <v>5</v>
      </c>
      <c r="J19" t="str">
        <f>IF(OR(E19&lt;'Stats Summary'!$B$13,E19&gt;'Stats Summary'!$B$14),"Yes","No")</f>
        <v>No</v>
      </c>
    </row>
    <row r="20" spans="1:10" x14ac:dyDescent="0.3">
      <c r="A20" s="1">
        <v>46222</v>
      </c>
      <c r="B20" t="s">
        <v>17</v>
      </c>
      <c r="C20" t="s">
        <v>59</v>
      </c>
      <c r="D20">
        <v>450</v>
      </c>
      <c r="E20">
        <v>61</v>
      </c>
      <c r="F20" t="s">
        <v>22</v>
      </c>
      <c r="G20">
        <v>1</v>
      </c>
      <c r="H20">
        <f t="shared" si="0"/>
        <v>450</v>
      </c>
      <c r="I20">
        <v>2</v>
      </c>
      <c r="J20" t="str">
        <f>IF(OR(E20&lt;'Stats Summary'!$B$13,E20&gt;'Stats Summary'!$B$14),"Yes","No")</f>
        <v>No</v>
      </c>
    </row>
    <row r="21" spans="1:10" x14ac:dyDescent="0.3">
      <c r="A21" s="1">
        <v>46223</v>
      </c>
      <c r="B21" t="s">
        <v>19</v>
      </c>
      <c r="C21" t="s">
        <v>62</v>
      </c>
      <c r="D21">
        <v>670</v>
      </c>
      <c r="E21">
        <v>33</v>
      </c>
      <c r="F21" t="s">
        <v>10</v>
      </c>
      <c r="G21">
        <v>1</v>
      </c>
      <c r="H21">
        <f t="shared" si="0"/>
        <v>670</v>
      </c>
      <c r="I21">
        <v>4</v>
      </c>
      <c r="J21" t="str">
        <f>IF(OR(E21&lt;'Stats Summary'!$B$13,E21&gt;'Stats Summary'!$B$14),"Yes","No")</f>
        <v>No</v>
      </c>
    </row>
    <row r="22" spans="1:10" x14ac:dyDescent="0.3">
      <c r="A22" s="1">
        <v>46224</v>
      </c>
      <c r="B22" t="s">
        <v>9</v>
      </c>
      <c r="C22" t="s">
        <v>50</v>
      </c>
      <c r="D22">
        <v>780</v>
      </c>
      <c r="E22">
        <v>26</v>
      </c>
      <c r="F22" t="s">
        <v>10</v>
      </c>
      <c r="G22">
        <v>1</v>
      </c>
      <c r="H22">
        <f t="shared" si="0"/>
        <v>780</v>
      </c>
      <c r="I22">
        <v>5</v>
      </c>
      <c r="J22" t="str">
        <f>IF(OR(E22&lt;'Stats Summary'!$B$13,E22&gt;'Stats Summary'!$B$14),"Yes","No")</f>
        <v>No</v>
      </c>
    </row>
    <row r="23" spans="1:10" x14ac:dyDescent="0.3">
      <c r="A23" s="1">
        <v>46225</v>
      </c>
      <c r="B23" t="s">
        <v>12</v>
      </c>
      <c r="C23" t="s">
        <v>53</v>
      </c>
      <c r="D23">
        <v>590</v>
      </c>
      <c r="E23">
        <v>50</v>
      </c>
      <c r="F23" t="s">
        <v>15</v>
      </c>
      <c r="G23">
        <v>1</v>
      </c>
      <c r="H23">
        <f t="shared" si="0"/>
        <v>590</v>
      </c>
      <c r="I23">
        <v>2</v>
      </c>
      <c r="J23" t="str">
        <f>IF(OR(E23&lt;'Stats Summary'!$B$13,E23&gt;'Stats Summary'!$B$14),"Yes","No")</f>
        <v>No</v>
      </c>
    </row>
    <row r="24" spans="1:10" x14ac:dyDescent="0.3">
      <c r="A24" s="1">
        <v>46226</v>
      </c>
      <c r="B24" t="s">
        <v>14</v>
      </c>
      <c r="C24" t="s">
        <v>56</v>
      </c>
      <c r="D24">
        <v>730</v>
      </c>
      <c r="E24">
        <v>37</v>
      </c>
      <c r="F24" t="s">
        <v>10</v>
      </c>
      <c r="G24">
        <v>1</v>
      </c>
      <c r="H24">
        <f t="shared" si="0"/>
        <v>730</v>
      </c>
      <c r="I24">
        <v>4</v>
      </c>
      <c r="J24" t="str">
        <f>IF(OR(E24&lt;'Stats Summary'!$B$13,E24&gt;'Stats Summary'!$B$14),"Yes","No")</f>
        <v>No</v>
      </c>
    </row>
    <row r="25" spans="1:10" x14ac:dyDescent="0.3">
      <c r="A25" s="1">
        <v>46227</v>
      </c>
      <c r="B25" t="s">
        <v>17</v>
      </c>
      <c r="C25" t="s">
        <v>59</v>
      </c>
      <c r="D25">
        <v>640</v>
      </c>
      <c r="E25">
        <v>45</v>
      </c>
      <c r="F25" t="s">
        <v>10</v>
      </c>
      <c r="G25">
        <v>1</v>
      </c>
      <c r="H25">
        <f t="shared" si="0"/>
        <v>640</v>
      </c>
      <c r="I25">
        <v>4</v>
      </c>
      <c r="J25" t="str">
        <f>IF(OR(E25&lt;'Stats Summary'!$B$13,E25&gt;'Stats Summary'!$B$14),"Yes","No")</f>
        <v>No</v>
      </c>
    </row>
    <row r="26" spans="1:10" x14ac:dyDescent="0.3">
      <c r="A26" s="1">
        <v>46228</v>
      </c>
      <c r="B26" t="s">
        <v>19</v>
      </c>
      <c r="C26" t="s">
        <v>62</v>
      </c>
      <c r="D26">
        <v>950</v>
      </c>
      <c r="E26">
        <v>68</v>
      </c>
      <c r="F26" t="s">
        <v>22</v>
      </c>
      <c r="G26">
        <v>1</v>
      </c>
      <c r="H26">
        <f t="shared" si="0"/>
        <v>950</v>
      </c>
      <c r="I26">
        <v>3</v>
      </c>
      <c r="J26" t="str">
        <f>IF(OR(E26&lt;'Stats Summary'!$B$13,E26&gt;'Stats Summary'!$B$14),"Yes","No")</f>
        <v>No</v>
      </c>
    </row>
    <row r="27" spans="1:10" x14ac:dyDescent="0.3">
      <c r="A27" s="1">
        <v>46229</v>
      </c>
      <c r="B27" t="s">
        <v>9</v>
      </c>
      <c r="C27" t="s">
        <v>50</v>
      </c>
      <c r="D27">
        <v>520</v>
      </c>
      <c r="E27">
        <v>21</v>
      </c>
      <c r="F27" t="s">
        <v>10</v>
      </c>
      <c r="G27">
        <v>1</v>
      </c>
      <c r="H27">
        <f t="shared" si="0"/>
        <v>520</v>
      </c>
      <c r="I27">
        <v>5</v>
      </c>
      <c r="J27" t="str">
        <f>IF(OR(E27&lt;'Stats Summary'!$B$13,E27&gt;'Stats Summary'!$B$14),"Yes","No")</f>
        <v>No</v>
      </c>
    </row>
    <row r="28" spans="1:10" x14ac:dyDescent="0.3">
      <c r="A28" s="1">
        <v>46230</v>
      </c>
      <c r="B28" t="s">
        <v>12</v>
      </c>
      <c r="C28" t="s">
        <v>53</v>
      </c>
      <c r="D28">
        <v>610</v>
      </c>
      <c r="E28">
        <v>34</v>
      </c>
      <c r="F28" t="s">
        <v>10</v>
      </c>
      <c r="G28">
        <v>1</v>
      </c>
      <c r="H28">
        <f t="shared" si="0"/>
        <v>610</v>
      </c>
      <c r="I28">
        <v>4</v>
      </c>
      <c r="J28" t="str">
        <f>IF(OR(E28&lt;'Stats Summary'!$B$13,E28&gt;'Stats Summary'!$B$14),"Yes","No")</f>
        <v>No</v>
      </c>
    </row>
    <row r="29" spans="1:10" x14ac:dyDescent="0.3">
      <c r="A29" s="1">
        <v>46231</v>
      </c>
      <c r="B29" t="s">
        <v>14</v>
      </c>
      <c r="C29" t="s">
        <v>56</v>
      </c>
      <c r="D29">
        <v>880</v>
      </c>
      <c r="E29">
        <v>49</v>
      </c>
      <c r="F29" t="s">
        <v>10</v>
      </c>
      <c r="G29">
        <v>1</v>
      </c>
      <c r="H29">
        <f t="shared" si="0"/>
        <v>880</v>
      </c>
      <c r="I29">
        <v>3</v>
      </c>
      <c r="J29" t="str">
        <f>IF(OR(E29&lt;'Stats Summary'!$B$13,E29&gt;'Stats Summary'!$B$14),"Yes","No")</f>
        <v>No</v>
      </c>
    </row>
    <row r="30" spans="1:10" x14ac:dyDescent="0.3">
      <c r="A30" s="1">
        <v>46232</v>
      </c>
      <c r="B30" t="s">
        <v>17</v>
      </c>
      <c r="C30" t="s">
        <v>59</v>
      </c>
      <c r="D30">
        <v>760</v>
      </c>
      <c r="E30">
        <v>27</v>
      </c>
      <c r="F30" t="s">
        <v>10</v>
      </c>
      <c r="G30">
        <v>1</v>
      </c>
      <c r="H30">
        <f t="shared" si="0"/>
        <v>760</v>
      </c>
      <c r="I30">
        <v>5</v>
      </c>
      <c r="J30" t="str">
        <f>IF(OR(E30&lt;'Stats Summary'!$B$13,E30&gt;'Stats Summary'!$B$14),"Yes","No")</f>
        <v>No</v>
      </c>
    </row>
    <row r="31" spans="1:10" x14ac:dyDescent="0.3">
      <c r="A31" s="1">
        <v>46233</v>
      </c>
      <c r="B31" t="s">
        <v>19</v>
      </c>
      <c r="C31" t="s">
        <v>62</v>
      </c>
      <c r="D31">
        <v>540</v>
      </c>
      <c r="E31">
        <v>43</v>
      </c>
      <c r="F31" t="s">
        <v>10</v>
      </c>
      <c r="G31">
        <v>1</v>
      </c>
      <c r="H31">
        <f t="shared" si="0"/>
        <v>540</v>
      </c>
      <c r="I31">
        <v>4</v>
      </c>
      <c r="J31" t="str">
        <f>IF(OR(E31&lt;'Stats Summary'!$B$13,E31&gt;'Stats Summary'!$B$14),"Yes","No")</f>
        <v>No</v>
      </c>
    </row>
    <row r="32" spans="1:10" x14ac:dyDescent="0.3">
      <c r="A32" s="1">
        <v>46234</v>
      </c>
      <c r="B32" t="s">
        <v>9</v>
      </c>
      <c r="C32" t="s">
        <v>50</v>
      </c>
      <c r="D32">
        <v>620</v>
      </c>
      <c r="E32">
        <v>32</v>
      </c>
      <c r="F32" t="s">
        <v>10</v>
      </c>
      <c r="G32">
        <v>1</v>
      </c>
      <c r="H32">
        <f t="shared" si="0"/>
        <v>620</v>
      </c>
      <c r="I32">
        <v>4</v>
      </c>
      <c r="J32" t="str">
        <f>IF(OR(E32&lt;'Stats Summary'!$B$13,E32&gt;'Stats Summary'!$B$14),"Yes","No")</f>
        <v>No</v>
      </c>
    </row>
    <row r="33" spans="1:10" x14ac:dyDescent="0.3">
      <c r="A33" s="1">
        <v>46235</v>
      </c>
      <c r="B33" t="s">
        <v>12</v>
      </c>
      <c r="C33" t="s">
        <v>53</v>
      </c>
      <c r="D33">
        <v>570</v>
      </c>
      <c r="E33">
        <v>41</v>
      </c>
      <c r="F33" t="s">
        <v>10</v>
      </c>
      <c r="G33">
        <v>1</v>
      </c>
      <c r="H33">
        <f t="shared" si="0"/>
        <v>570</v>
      </c>
      <c r="I33">
        <v>3</v>
      </c>
      <c r="J33" t="str">
        <f>IF(OR(E33&lt;'Stats Summary'!$B$13,E33&gt;'Stats Summary'!$B$14),"Yes","No")</f>
        <v>No</v>
      </c>
    </row>
    <row r="34" spans="1:10" x14ac:dyDescent="0.3">
      <c r="A34" s="1">
        <v>46236</v>
      </c>
      <c r="B34" t="s">
        <v>14</v>
      </c>
      <c r="C34" t="s">
        <v>56</v>
      </c>
      <c r="D34">
        <v>810</v>
      </c>
      <c r="E34">
        <v>36</v>
      </c>
      <c r="F34" t="s">
        <v>10</v>
      </c>
      <c r="G34">
        <v>1</v>
      </c>
      <c r="H34">
        <f t="shared" si="0"/>
        <v>810</v>
      </c>
      <c r="I34">
        <v>5</v>
      </c>
      <c r="J34" t="str">
        <f>IF(OR(E34&lt;'Stats Summary'!$B$13,E34&gt;'Stats Summary'!$B$14),"Yes","No")</f>
        <v>No</v>
      </c>
    </row>
    <row r="35" spans="1:10" x14ac:dyDescent="0.3">
      <c r="A35" s="1">
        <v>46237</v>
      </c>
      <c r="B35" t="s">
        <v>17</v>
      </c>
      <c r="C35" t="s">
        <v>59</v>
      </c>
      <c r="D35">
        <v>690</v>
      </c>
      <c r="E35">
        <v>47</v>
      </c>
      <c r="F35" t="s">
        <v>10</v>
      </c>
      <c r="G35">
        <v>1</v>
      </c>
      <c r="H35">
        <f t="shared" si="0"/>
        <v>690</v>
      </c>
      <c r="I35">
        <v>4</v>
      </c>
      <c r="J35" t="str">
        <f>IF(OR(E35&lt;'Stats Summary'!$B$13,E35&gt;'Stats Summary'!$B$14),"Yes","No")</f>
        <v>No</v>
      </c>
    </row>
    <row r="36" spans="1:10" x14ac:dyDescent="0.3">
      <c r="A36" s="1">
        <v>46238</v>
      </c>
      <c r="B36" t="s">
        <v>19</v>
      </c>
      <c r="C36" t="s">
        <v>62</v>
      </c>
      <c r="D36">
        <v>580</v>
      </c>
      <c r="E36">
        <v>29</v>
      </c>
      <c r="F36" t="s">
        <v>10</v>
      </c>
      <c r="G36">
        <v>1</v>
      </c>
      <c r="H36">
        <f t="shared" si="0"/>
        <v>580</v>
      </c>
      <c r="I36">
        <v>5</v>
      </c>
      <c r="J36" t="str">
        <f>IF(OR(E36&lt;'Stats Summary'!$B$13,E36&gt;'Stats Summary'!$B$14),"Yes","No")</f>
        <v>No</v>
      </c>
    </row>
    <row r="37" spans="1:10" x14ac:dyDescent="0.3">
      <c r="A37" s="1">
        <v>46239</v>
      </c>
      <c r="B37" t="s">
        <v>9</v>
      </c>
      <c r="C37" t="s">
        <v>50</v>
      </c>
      <c r="D37">
        <v>730</v>
      </c>
      <c r="E37">
        <v>24</v>
      </c>
      <c r="F37" t="s">
        <v>10</v>
      </c>
      <c r="G37">
        <v>1</v>
      </c>
      <c r="H37">
        <f t="shared" si="0"/>
        <v>730</v>
      </c>
      <c r="I37">
        <v>4</v>
      </c>
      <c r="J37" t="str">
        <f>IF(OR(E37&lt;'Stats Summary'!$B$13,E37&gt;'Stats Summary'!$B$14),"Yes","No")</f>
        <v>No</v>
      </c>
    </row>
    <row r="38" spans="1:10" x14ac:dyDescent="0.3">
      <c r="A38" s="1">
        <v>46240</v>
      </c>
      <c r="B38" t="s">
        <v>12</v>
      </c>
      <c r="C38" t="s">
        <v>53</v>
      </c>
      <c r="D38">
        <v>640</v>
      </c>
      <c r="E38">
        <v>55</v>
      </c>
      <c r="F38" t="s">
        <v>22</v>
      </c>
      <c r="G38">
        <v>1</v>
      </c>
      <c r="H38">
        <f t="shared" si="0"/>
        <v>640</v>
      </c>
      <c r="I38">
        <v>3</v>
      </c>
      <c r="J38" t="str">
        <f>IF(OR(E38&lt;'Stats Summary'!$B$13,E38&gt;'Stats Summary'!$B$14),"Yes","No")</f>
        <v>No</v>
      </c>
    </row>
    <row r="39" spans="1:10" x14ac:dyDescent="0.3">
      <c r="A39" s="1">
        <v>46241</v>
      </c>
      <c r="B39" t="s">
        <v>14</v>
      </c>
      <c r="C39" t="s">
        <v>56</v>
      </c>
      <c r="D39">
        <v>770</v>
      </c>
      <c r="E39">
        <v>33</v>
      </c>
      <c r="F39" t="s">
        <v>10</v>
      </c>
      <c r="G39">
        <v>1</v>
      </c>
      <c r="H39">
        <f t="shared" si="0"/>
        <v>770</v>
      </c>
      <c r="I39">
        <v>5</v>
      </c>
      <c r="J39" t="str">
        <f>IF(OR(E39&lt;'Stats Summary'!$B$13,E39&gt;'Stats Summary'!$B$14),"Yes","No")</f>
        <v>No</v>
      </c>
    </row>
    <row r="40" spans="1:10" x14ac:dyDescent="0.3">
      <c r="A40" s="1">
        <v>46242</v>
      </c>
      <c r="B40" t="s">
        <v>17</v>
      </c>
      <c r="C40" t="s">
        <v>59</v>
      </c>
      <c r="D40">
        <v>820</v>
      </c>
      <c r="E40">
        <v>40</v>
      </c>
      <c r="F40" t="s">
        <v>10</v>
      </c>
      <c r="G40">
        <v>1</v>
      </c>
      <c r="H40">
        <f t="shared" si="0"/>
        <v>820</v>
      </c>
      <c r="I40">
        <v>4</v>
      </c>
      <c r="J40" t="str">
        <f>IF(OR(E40&lt;'Stats Summary'!$B$13,E40&gt;'Stats Summary'!$B$14),"Yes","No")</f>
        <v>No</v>
      </c>
    </row>
    <row r="41" spans="1:10" x14ac:dyDescent="0.3">
      <c r="A41" s="1">
        <v>46243</v>
      </c>
      <c r="B41" t="s">
        <v>19</v>
      </c>
      <c r="C41" t="s">
        <v>62</v>
      </c>
      <c r="D41">
        <v>600</v>
      </c>
      <c r="E41">
        <v>38</v>
      </c>
      <c r="F41" t="s">
        <v>10</v>
      </c>
      <c r="G41">
        <v>1</v>
      </c>
      <c r="H41">
        <f t="shared" si="0"/>
        <v>600</v>
      </c>
      <c r="I41">
        <v>4</v>
      </c>
      <c r="J41" t="str">
        <f>IF(OR(E41&lt;'Stats Summary'!$B$13,E41&gt;'Stats Summary'!$B$14),"Yes","No")</f>
        <v>No</v>
      </c>
    </row>
    <row r="42" spans="1:10" x14ac:dyDescent="0.3">
      <c r="A42" s="1">
        <v>46244</v>
      </c>
      <c r="B42" t="s">
        <v>9</v>
      </c>
      <c r="C42" t="s">
        <v>50</v>
      </c>
      <c r="D42">
        <v>690</v>
      </c>
      <c r="E42">
        <v>31</v>
      </c>
      <c r="F42" t="s">
        <v>10</v>
      </c>
      <c r="G42">
        <v>1</v>
      </c>
      <c r="H42">
        <f t="shared" si="0"/>
        <v>690</v>
      </c>
      <c r="I42">
        <v>5</v>
      </c>
      <c r="J42" t="str">
        <f>IF(OR(E42&lt;'Stats Summary'!$B$13,E42&gt;'Stats Summary'!$B$14),"Yes","No")</f>
        <v>No</v>
      </c>
    </row>
    <row r="43" spans="1:10" x14ac:dyDescent="0.3">
      <c r="A43" s="1">
        <v>46245</v>
      </c>
      <c r="B43" t="s">
        <v>12</v>
      </c>
      <c r="C43" t="s">
        <v>53</v>
      </c>
      <c r="D43">
        <v>520</v>
      </c>
      <c r="E43">
        <v>28</v>
      </c>
      <c r="F43" t="s">
        <v>10</v>
      </c>
      <c r="G43">
        <v>1</v>
      </c>
      <c r="H43">
        <f t="shared" si="0"/>
        <v>520</v>
      </c>
      <c r="I43">
        <v>3</v>
      </c>
      <c r="J43" t="str">
        <f>IF(OR(E43&lt;'Stats Summary'!$B$13,E43&gt;'Stats Summary'!$B$14),"Yes","No")</f>
        <v>No</v>
      </c>
    </row>
    <row r="44" spans="1:10" x14ac:dyDescent="0.3">
      <c r="A44" s="1">
        <v>46246</v>
      </c>
      <c r="B44" t="s">
        <v>14</v>
      </c>
      <c r="C44" t="s">
        <v>56</v>
      </c>
      <c r="D44">
        <v>900</v>
      </c>
      <c r="E44">
        <v>62</v>
      </c>
      <c r="F44" t="s">
        <v>22</v>
      </c>
      <c r="G44">
        <v>1</v>
      </c>
      <c r="H44">
        <f t="shared" si="0"/>
        <v>900</v>
      </c>
      <c r="I44">
        <v>4</v>
      </c>
      <c r="J44" t="str">
        <f>IF(OR(E44&lt;'Stats Summary'!$B$13,E44&gt;'Stats Summary'!$B$14),"Yes","No")</f>
        <v>No</v>
      </c>
    </row>
    <row r="45" spans="1:10" x14ac:dyDescent="0.3">
      <c r="A45" s="1">
        <v>46247</v>
      </c>
      <c r="B45" t="s">
        <v>17</v>
      </c>
      <c r="C45" t="s">
        <v>59</v>
      </c>
      <c r="D45">
        <v>710</v>
      </c>
      <c r="E45">
        <v>34</v>
      </c>
      <c r="F45" t="s">
        <v>10</v>
      </c>
      <c r="G45">
        <v>1</v>
      </c>
      <c r="H45">
        <f t="shared" si="0"/>
        <v>710</v>
      </c>
      <c r="I45">
        <v>5</v>
      </c>
      <c r="J45" t="str">
        <f>IF(OR(E45&lt;'Stats Summary'!$B$13,E45&gt;'Stats Summary'!$B$14),"Yes","No")</f>
        <v>No</v>
      </c>
    </row>
    <row r="46" spans="1:10" x14ac:dyDescent="0.3">
      <c r="A46" s="1">
        <v>46248</v>
      </c>
      <c r="B46" t="s">
        <v>19</v>
      </c>
      <c r="C46" t="s">
        <v>62</v>
      </c>
      <c r="D46">
        <v>630</v>
      </c>
      <c r="E46">
        <v>26</v>
      </c>
      <c r="F46" t="s">
        <v>10</v>
      </c>
      <c r="G46">
        <v>1</v>
      </c>
      <c r="H46">
        <f t="shared" si="0"/>
        <v>630</v>
      </c>
      <c r="I46">
        <v>4</v>
      </c>
      <c r="J46" t="str">
        <f>IF(OR(E46&lt;'Stats Summary'!$B$13,E46&gt;'Stats Summary'!$B$14),"Yes","No")</f>
        <v>No</v>
      </c>
    </row>
    <row r="47" spans="1:10" x14ac:dyDescent="0.3">
      <c r="A47" s="1">
        <v>46249</v>
      </c>
      <c r="B47" t="s">
        <v>9</v>
      </c>
      <c r="C47" t="s">
        <v>50</v>
      </c>
      <c r="D47">
        <v>560</v>
      </c>
      <c r="E47">
        <v>45</v>
      </c>
      <c r="F47" t="s">
        <v>10</v>
      </c>
      <c r="G47">
        <v>1</v>
      </c>
      <c r="H47">
        <f t="shared" si="0"/>
        <v>560</v>
      </c>
      <c r="I47">
        <v>3</v>
      </c>
      <c r="J47" t="str">
        <f>IF(OR(E47&lt;'Stats Summary'!$B$13,E47&gt;'Stats Summary'!$B$14),"Yes","No")</f>
        <v>No</v>
      </c>
    </row>
    <row r="48" spans="1:10" x14ac:dyDescent="0.3">
      <c r="A48" s="1">
        <v>46250</v>
      </c>
      <c r="B48" t="s">
        <v>12</v>
      </c>
      <c r="C48" t="s">
        <v>53</v>
      </c>
      <c r="D48">
        <v>680</v>
      </c>
      <c r="E48">
        <v>37</v>
      </c>
      <c r="F48" t="s">
        <v>10</v>
      </c>
      <c r="G48">
        <v>1</v>
      </c>
      <c r="H48">
        <f t="shared" si="0"/>
        <v>680</v>
      </c>
      <c r="I48">
        <v>5</v>
      </c>
      <c r="J48" t="str">
        <f>IF(OR(E48&lt;'Stats Summary'!$B$13,E48&gt;'Stats Summary'!$B$14),"Yes","No")</f>
        <v>No</v>
      </c>
    </row>
    <row r="49" spans="1:10" x14ac:dyDescent="0.3">
      <c r="A49" s="1">
        <v>46251</v>
      </c>
      <c r="B49" t="s">
        <v>14</v>
      </c>
      <c r="C49" t="s">
        <v>56</v>
      </c>
      <c r="D49">
        <v>740</v>
      </c>
      <c r="E49">
        <v>30</v>
      </c>
      <c r="F49" t="s">
        <v>10</v>
      </c>
      <c r="G49">
        <v>1</v>
      </c>
      <c r="H49">
        <f t="shared" si="0"/>
        <v>740</v>
      </c>
      <c r="I49">
        <v>4</v>
      </c>
      <c r="J49" t="str">
        <f>IF(OR(E49&lt;'Stats Summary'!$B$13,E49&gt;'Stats Summary'!$B$14),"Yes","No")</f>
        <v>No</v>
      </c>
    </row>
    <row r="50" spans="1:10" x14ac:dyDescent="0.3">
      <c r="A50" s="1">
        <v>46252</v>
      </c>
      <c r="B50" t="s">
        <v>17</v>
      </c>
      <c r="C50" t="s">
        <v>59</v>
      </c>
      <c r="D50">
        <v>860</v>
      </c>
      <c r="E50">
        <v>51</v>
      </c>
      <c r="F50" t="s">
        <v>15</v>
      </c>
      <c r="G50">
        <v>1</v>
      </c>
      <c r="H50">
        <f t="shared" si="0"/>
        <v>860</v>
      </c>
      <c r="I50">
        <v>3</v>
      </c>
      <c r="J50" t="str">
        <f>IF(OR(E50&lt;'Stats Summary'!$B$13,E50&gt;'Stats Summary'!$B$14),"Yes","No")</f>
        <v>No</v>
      </c>
    </row>
    <row r="51" spans="1:10" x14ac:dyDescent="0.3">
      <c r="A51" s="1">
        <v>46253</v>
      </c>
      <c r="B51" t="s">
        <v>19</v>
      </c>
      <c r="C51" t="s">
        <v>62</v>
      </c>
      <c r="D51">
        <v>590</v>
      </c>
      <c r="E51">
        <v>23</v>
      </c>
      <c r="F51" t="s">
        <v>10</v>
      </c>
      <c r="G51">
        <v>1</v>
      </c>
      <c r="H51">
        <f t="shared" si="0"/>
        <v>590</v>
      </c>
      <c r="I51">
        <v>5</v>
      </c>
      <c r="J51" t="str">
        <f>IF(OR(E51&lt;'Stats Summary'!$B$13,E51&gt;'Stats Summary'!$B$14),"Yes","No")</f>
        <v>No</v>
      </c>
    </row>
    <row r="52" spans="1:10" x14ac:dyDescent="0.3">
      <c r="A52" s="1">
        <v>46254</v>
      </c>
      <c r="B52" t="s">
        <v>9</v>
      </c>
      <c r="C52" t="s">
        <v>50</v>
      </c>
      <c r="D52">
        <v>810</v>
      </c>
      <c r="E52">
        <v>42</v>
      </c>
      <c r="F52" t="s">
        <v>10</v>
      </c>
      <c r="G52">
        <v>1</v>
      </c>
      <c r="H52">
        <f t="shared" si="0"/>
        <v>810</v>
      </c>
      <c r="J52" t="str">
        <f>IF(OR(E52&lt;'Stats Summary'!$B$13,E52&gt;'Stats Summary'!$B$14),"Yes","No")</f>
        <v>No</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BCF51-BD16-4910-9AFC-26DA9920DD50}">
  <dimension ref="A1:B14"/>
  <sheetViews>
    <sheetView tabSelected="1" workbookViewId="0">
      <selection activeCell="E11" sqref="E11"/>
    </sheetView>
  </sheetViews>
  <sheetFormatPr defaultRowHeight="14.4" x14ac:dyDescent="0.3"/>
  <cols>
    <col min="1" max="1" width="16.109375" bestFit="1" customWidth="1"/>
  </cols>
  <sheetData>
    <row r="1" spans="1:2" ht="18" x14ac:dyDescent="0.35">
      <c r="A1" s="8" t="s">
        <v>99</v>
      </c>
      <c r="B1" s="8" t="s">
        <v>100</v>
      </c>
    </row>
    <row r="2" spans="1:2" x14ac:dyDescent="0.3">
      <c r="A2" t="s">
        <v>101</v>
      </c>
      <c r="B2">
        <f>AVERAGE('Task 4 - Data'!E2:E51)</f>
        <v>38.32</v>
      </c>
    </row>
    <row r="3" spans="1:2" x14ac:dyDescent="0.3">
      <c r="A3" t="s">
        <v>102</v>
      </c>
      <c r="B3">
        <f>MEDIAN('Task 4 - Data'!E2:E51)</f>
        <v>35.5</v>
      </c>
    </row>
    <row r="4" spans="1:2" x14ac:dyDescent="0.3">
      <c r="A4" t="s">
        <v>103</v>
      </c>
      <c r="B4">
        <f>MODE('Task 4 - Data'!E2:E43)</f>
        <v>35</v>
      </c>
    </row>
    <row r="5" spans="1:2" x14ac:dyDescent="0.3">
      <c r="A5" t="s">
        <v>104</v>
      </c>
      <c r="B5">
        <f>_xlfn.STDEV.S('Task 4 - Data'!E2:E51)</f>
        <v>12.01434516717072</v>
      </c>
    </row>
    <row r="6" spans="1:2" x14ac:dyDescent="0.3">
      <c r="A6" t="s">
        <v>105</v>
      </c>
      <c r="B6">
        <f>_xlfn.VAR.S('Task 4 - Data'!E2:E51)</f>
        <v>144.34448979591846</v>
      </c>
    </row>
    <row r="7" spans="1:2" x14ac:dyDescent="0.3">
      <c r="A7" t="s">
        <v>106</v>
      </c>
      <c r="B7">
        <f>MIN('Task 4 - Data'!E2:E51)</f>
        <v>21</v>
      </c>
    </row>
    <row r="8" spans="1:2" x14ac:dyDescent="0.3">
      <c r="A8" t="s">
        <v>107</v>
      </c>
      <c r="B8">
        <f>MAX('Task 4 - Data'!E2:E51)</f>
        <v>68</v>
      </c>
    </row>
    <row r="9" spans="1:2" x14ac:dyDescent="0.3">
      <c r="A9" t="s">
        <v>108</v>
      </c>
      <c r="B9">
        <f>_xlfn.QUARTILE.INC('Task 4 - Data'!E2:E51,1)</f>
        <v>29</v>
      </c>
    </row>
    <row r="10" spans="1:2" x14ac:dyDescent="0.3">
      <c r="A10" t="s">
        <v>109</v>
      </c>
      <c r="B10">
        <f>_xlfn.QUARTILE.INC('Task 4 - Data'!E2:E51,3)</f>
        <v>45.75</v>
      </c>
    </row>
    <row r="12" spans="1:2" ht="15.6" x14ac:dyDescent="0.3">
      <c r="A12" s="7" t="s">
        <v>110</v>
      </c>
      <c r="B12">
        <f>B10-B9</f>
        <v>16.75</v>
      </c>
    </row>
    <row r="13" spans="1:2" ht="15.6" x14ac:dyDescent="0.3">
      <c r="A13" s="7" t="s">
        <v>112</v>
      </c>
      <c r="B13">
        <f>B9-(1.5*B12)</f>
        <v>3.875</v>
      </c>
    </row>
    <row r="14" spans="1:2" ht="15.6" x14ac:dyDescent="0.3">
      <c r="A14" s="7" t="s">
        <v>111</v>
      </c>
      <c r="B14">
        <f>B10+(1.5*B12)</f>
        <v>70.875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Task1_Orders </vt:lpstr>
      <vt:lpstr>Task1_Premium</vt:lpstr>
      <vt:lpstr>Task2_Restaurants</vt:lpstr>
      <vt:lpstr>Task2_Orders</vt:lpstr>
      <vt:lpstr>Task 3 - Dataset</vt:lpstr>
      <vt:lpstr>Task3_Table1</vt:lpstr>
      <vt:lpstr>Task3_Table2</vt:lpstr>
      <vt:lpstr>Task 4 - Data</vt:lpstr>
      <vt:lpstr>Stats Summary</vt:lpstr>
      <vt:lpstr>'Task1_Orders '!Criteria</vt:lpstr>
      <vt:lpstr>'Task1_Orders '!Extract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2026-10-01T10:45:38Z</dcterms:created>
  <dcterms:modified xsi:type="dcterms:W3CDTF">2026-10-03T08:01:43Z</dcterms:modified>
</cp:coreProperties>
</file>